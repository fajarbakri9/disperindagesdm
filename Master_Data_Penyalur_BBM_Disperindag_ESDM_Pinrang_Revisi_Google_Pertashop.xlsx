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# DOWNLOAD\"/>
    </mc:Choice>
  </mc:AlternateContent>
  <xr:revisionPtr revIDLastSave="0" documentId="8_{B890372F-A02B-4BF5-87BB-A46AFA324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ngkasan" sheetId="1" r:id="rId1"/>
    <sheet name="Master Penyalur" sheetId="2" r:id="rId2"/>
    <sheet name="Referensi" sheetId="4" r:id="rId3"/>
    <sheet name="Posisi Pertashop Google" sheetId="6" r:id="rId4"/>
  </sheets>
  <calcPr calcId="191029"/>
  <fileRecoveryPr repairLoad="1"/>
</workbook>
</file>

<file path=xl/calcChain.xml><?xml version="1.0" encoding="utf-8"?>
<calcChain xmlns="http://schemas.openxmlformats.org/spreadsheetml/2006/main">
  <c r="B14" i="1" l="1"/>
  <c r="B13" i="1"/>
  <c r="B12" i="1"/>
  <c r="B11" i="1"/>
  <c r="B7" i="1"/>
  <c r="B6" i="1"/>
  <c r="B5" i="1"/>
  <c r="B4" i="1"/>
  <c r="B8" i="1" s="1"/>
</calcChain>
</file>

<file path=xl/sharedStrings.xml><?xml version="1.0" encoding="utf-8"?>
<sst xmlns="http://schemas.openxmlformats.org/spreadsheetml/2006/main" count="648" uniqueCount="388">
  <si>
    <t>RINGKASAN PENYALUR BBM — KABUPATEN PINRANG</t>
  </si>
  <si>
    <t>Jenis / Klasifikasi</t>
  </si>
  <si>
    <t>Jumlah</t>
  </si>
  <si>
    <t>SPBU Reguler</t>
  </si>
  <si>
    <t>SPBU Kompak / Seri 76</t>
  </si>
  <si>
    <t>SPBUN / Nelayan</t>
  </si>
  <si>
    <t>Pertashop</t>
  </si>
  <si>
    <t>TOTAL MASTER RESMI</t>
  </si>
  <si>
    <t>Status Sinkronisasi Alamat</t>
  </si>
  <si>
    <t>Tinggi</t>
  </si>
  <si>
    <t>Sedang / perlu cek titik</t>
  </si>
  <si>
    <t>Konflik sumber</t>
  </si>
  <si>
    <t>Belum disinkronkan Google</t>
  </si>
  <si>
    <t>CATATAN KOREKSI PENTING</t>
  </si>
  <si>
    <t>Seri 76</t>
  </si>
  <si>
    <t>Disimpan sebagai “SPBU Kompak / Seri 76”. Kolom alias mencatat penggunaan istilah APMS di lapangan. Ini lebih aman daripada menyamakan APMS = SPBU Kompak.</t>
  </si>
  <si>
    <t>APMS yang kuat teridentifikasi</t>
  </si>
  <si>
    <t>76.912.02 Malimpung, 76.912.03 Jampue, dan 76.912.04 Langnga memiliki kecocokan kuat antara data resmi dan pencarian Google/publik.</t>
  </si>
  <si>
    <t>76.912.05</t>
  </si>
  <si>
    <t>Ditjen Migas + Google mengarah ke Cempa, tetapi media Juli 2026 menyebut kode yang sama berada di Maritengngae, Suppa. Ditandai KONFLIK dan wajib konfirmasi Pertamina/operator.</t>
  </si>
  <si>
    <t>76.912.01</t>
  </si>
  <si>
    <t>Data resmi: Barakasanda; Barakasanda berada di Desa Maritengngae, Suppa. Ada listing Google APMS Maritengngae tanpa kode. Media lain menyebut 76.912.01 Cempa; kode perlu dikonfirmasi.</t>
  </si>
  <si>
    <t>74.912.16</t>
  </si>
  <si>
    <t>Masih muncul sebagai listing Google di Leppangang/Pincara, Patampanua, tetapi tidak berada pada master resmi 2025 yang digunakan. Tidak dihitung dalam total; masuk sheet Temuan Google.</t>
  </si>
  <si>
    <t>Referensi resmi terbaru</t>
  </si>
  <si>
    <t>Ditjen Migas — Daftar Penyalur BBM Semester I 2026</t>
  </si>
  <si>
    <t>Sinkronisasi Google Pertashop</t>
  </si>
  <si>
    <t>3 exact + 3 probable + 3 address-only</t>
  </si>
  <si>
    <t>Basis detail baris</t>
  </si>
  <si>
    <t>https://migas.esdm.go.id/cms/uploads/informasi-publik/BU_hilir/2025%20-%20BBM%20Semester%20I/Penyalur%20Agen%20Retail%20PT%20PPN%20SMT%20I%202025.pdf</t>
  </si>
  <si>
    <t>MASTER DATA PENYALUR BBM KABUPATEN PINRANG — REVISI &amp; SINKRONISASI LOKASI</t>
  </si>
  <si>
    <t>Basis resmi: Ditjen Migas. Alamat operasional SPBU/seri 76 disandingkan dengan Google/hasil pencarian publik. Alamat resmi tidak ditimpa; perbedaan dicatat agar dapat diverifikasi lapangan/Pertamina.</t>
  </si>
  <si>
    <t>No</t>
  </si>
  <si>
    <t>Kode Penyalur</t>
  </si>
  <si>
    <t>Jenis Resmi / Klasifikasi</t>
  </si>
  <si>
    <t>Sebutan Lokal / Alias</t>
  </si>
  <si>
    <t>Nama Penyalur / Badan Usaha</t>
  </si>
  <si>
    <t>Alamat Resmi Ditjen Migas</t>
  </si>
  <si>
    <t>Alamat Google/Publik Terkini</t>
  </si>
  <si>
    <t>Desa/Kelurahan Terkini</t>
  </si>
  <si>
    <t>Kecamatan Terkini</t>
  </si>
  <si>
    <t>Kabupaten/Kota</t>
  </si>
  <si>
    <t>Status Operasi</t>
  </si>
  <si>
    <t>Status Sinkronisasi</t>
  </si>
  <si>
    <t>Basis Resmi</t>
  </si>
  <si>
    <t>Sumber Resmi</t>
  </si>
  <si>
    <t>Sumber Verifikasi Publik</t>
  </si>
  <si>
    <t>Google Maps Search</t>
  </si>
  <si>
    <t>Latitude</t>
  </si>
  <si>
    <t>Longitude</t>
  </si>
  <si>
    <t>Produk BBM</t>
  </si>
  <si>
    <t>JBT (Solar Subsidi)</t>
  </si>
  <si>
    <t>JBKP (Pertalite)</t>
  </si>
  <si>
    <t>Kuota JBT</t>
  </si>
  <si>
    <t>Kuota JBKP</t>
  </si>
  <si>
    <t>Realisasi Periode</t>
  </si>
  <si>
    <t>Tanggal Verifikasi Lokal</t>
  </si>
  <si>
    <t>Catatan</t>
  </si>
  <si>
    <t>74.912.01</t>
  </si>
  <si>
    <t>SPBU Maccorawalie</t>
  </si>
  <si>
    <t>PT. BINTANG IFATMAN MANDIRI</t>
  </si>
  <si>
    <t>KEL. MACCORAWALIE KEC. WATANG SAWITTO</t>
  </si>
  <si>
    <t>Jl. Bintang, Kel. Maccorawalie, Kec. Watang Sawitto, Kabupaten Pinrang, Sulawesi Selatan 91212</t>
  </si>
  <si>
    <t>Maccorawalie</t>
  </si>
  <si>
    <t>Watang Sawitto</t>
  </si>
  <si>
    <t>Kabupaten Pinrang</t>
  </si>
  <si>
    <t>Beroperasi</t>
  </si>
  <si>
    <t>Ditjen Migas 2025 + klasifikasi silang 2024</t>
  </si>
  <si>
    <t>https://newsbidik.com/2026/03/klik-link-untuk-baca-berita-selengkapnya-mafia-bbm-bersubsidi-di-kabupaten-pinrang-diduga-berjalan-lancar-dan-aman/</t>
  </si>
  <si>
    <t>https://www.google.com/maps/search/?api=1&amp;query=SPBU+Pertamina+74.912.01+Maccorawalie+Pinrang</t>
  </si>
  <si>
    <t>Google menampilkan Maccorawalie; sumber lokal 2026 menyebut Jl. Bintang. Gunakan alamat lokal ini sambil mempertahankan alamat resmi Ditjen Migas.</t>
  </si>
  <si>
    <t>74.912.02</t>
  </si>
  <si>
    <t>SPBU Tiroang</t>
  </si>
  <si>
    <t>DESA FAKKIE KEC. TIROANG</t>
  </si>
  <si>
    <t>Jl. Poros Pinrang–Rappang, Pakkie/Fakkie, Kec. Tiroang, Kabupaten Pinrang, Sulawesi Selatan 91256</t>
  </si>
  <si>
    <t>Pakkie/Fakkie</t>
  </si>
  <si>
    <t>Tiroang</t>
  </si>
  <si>
    <t>https://ajatappareng.online/polres-pinrang-pastikan-stok-bbm-subsidi-aman-antrean-solar-di-spbu-tiroang-dipicu-lonjakan-konsumen/</t>
  </si>
  <si>
    <t>https://www.google.com/maps/search/?api=1&amp;query=SPBU+Pertamina+74.912.02+Tiroang+Pinrang</t>
  </si>
  <si>
    <t>Google menggunakan ejaan Pakkie; sumber Ditjen Migas menulis Fakkie.</t>
  </si>
  <si>
    <t>74.912.14</t>
  </si>
  <si>
    <t>SPBU Pangaparang</t>
  </si>
  <si>
    <t>PT. ASNITA KARYA UTAMA</t>
  </si>
  <si>
    <t>JL. POROS PAREPARE - PINRANG</t>
  </si>
  <si>
    <t>Pangaparang, Desa Binanga Karaeng, Kec. Lembang, Kabupaten Pinrang, Sulawesi Selatan 91254</t>
  </si>
  <si>
    <t>Binanga Karaeng</t>
  </si>
  <si>
    <t>Lembang</t>
  </si>
  <si>
    <t>https://gemanews.id/2026/08/23/tipidter-polres-pinrang-perketat-pengawasan-spbu-pastikan-penyaluran-bbm-tepat-sasaran/</t>
  </si>
  <si>
    <t>https://www.google.com/maps/search/?api=1&amp;query=SPBU+74.912.14+Pangaparang+Pinrang</t>
  </si>
  <si>
    <t>Koreksi penting: alamat resmi lama terlalu umum (Jl. Poros Parepare–Pinrang); lokasi aktual teridentifikasi di Binanga Karaeng, Lembang.</t>
  </si>
  <si>
    <t>74.912.15</t>
  </si>
  <si>
    <t>SPBU Paleteang / Temmassarangnge</t>
  </si>
  <si>
    <t>PT. SHAFIR MULYA PRATAMA</t>
  </si>
  <si>
    <t>DESA TEMMASSARANGNGE, KEC. PALETEANG</t>
  </si>
  <si>
    <t>Jl. Poros Pinrang–Enrekang, Temmassarangnge, Kec. Paleteang, Kabupaten Pinrang, Sulawesi Selatan 91215</t>
  </si>
  <si>
    <t>Temmassarangnge</t>
  </si>
  <si>
    <t>Paleteang</t>
  </si>
  <si>
    <t>https://www.ulastempat.com/15-pom-bensin-spbu-terbaik-di-kab-pinrang/</t>
  </si>
  <si>
    <t>https://www.google.com/maps/search/?api=1&amp;query=SPBU+Pertamina+74.912.15+Pinrang</t>
  </si>
  <si>
    <t>Alamat Google memperjelas koridor Jl. Poros Pinrang–Enrekang.</t>
  </si>
  <si>
    <t>74.912.18</t>
  </si>
  <si>
    <t>SPBU Jaya / Jalan Lingkar</t>
  </si>
  <si>
    <t>PT. ASTRI GAMA UTAMA</t>
  </si>
  <si>
    <t>JL. LINGKAR KEL. JAYA KEC. WATANG SAWITTO</t>
  </si>
  <si>
    <t>Jl. Briptu Suherman (Jl. Lingkar), Kel. Jaya, Kec. Watang Sawitto, Kabupaten Pinrang, Sulawesi Selatan</t>
  </si>
  <si>
    <t>Jaya</t>
  </si>
  <si>
    <t>https://www.google.com/maps/search/?api=1&amp;query=SPBU+74.912.18+Jaya+Pinrang</t>
  </si>
  <si>
    <t>Google kadang menampilkan pin sebagai Macorawalie; alamat resmi menyebut Kel. Jaya. Pertahankan Jaya sebagai administrasi resmi sampai verifikasi koordinat.</t>
  </si>
  <si>
    <t>74.912.19</t>
  </si>
  <si>
    <t>SPBU Sawitto / Sekkang Rubae</t>
  </si>
  <si>
    <t>PT. MATAHARI SINAR TIMUR</t>
  </si>
  <si>
    <t>KEL. BENTENGNGE KEC. WATANG SAWITTO</t>
  </si>
  <si>
    <t>Kel. Bentengnge, Kec. Watang Sawitto, Kabupaten Pinrang, Sulawesi Selatan 91221</t>
  </si>
  <si>
    <t>Bentengnge</t>
  </si>
  <si>
    <t>https://www.google.com/maps/search/?api=1&amp;query=SPBU+Pertamina+74.912.19+Pinrang</t>
  </si>
  <si>
    <t>Sebutan lokal Sawitto/Sekkang Rubae; administrasi Google dan Ditjen Migas sama-sama Bentengnge.</t>
  </si>
  <si>
    <t>74.912.56</t>
  </si>
  <si>
    <t>SPBU Palia / Polebaramuli</t>
  </si>
  <si>
    <t>PT. RUSALI MIGAS MANDIRI</t>
  </si>
  <si>
    <t>PALIAE</t>
  </si>
  <si>
    <t>Jl. Poros Pinrang–Polman / kawasan Palia-Polebaramuli, Kel. Macinnae, Kec. Paleteang, Kabupaten Pinrang, Sulawesi Selatan 91214</t>
  </si>
  <si>
    <t>Macinnae</t>
  </si>
  <si>
    <t>https://www.suarasulawesi.com/2024/08/di-duga-spbu-7491256-palia-polebaramuli.html</t>
  </si>
  <si>
    <t>https://www.google.com/maps/search/?api=1&amp;query=SPBU+74.912.56+Palia+Pinrang</t>
  </si>
  <si>
    <t>Alamat pusat hanya 'PALIAE'. Google/publik memperjelas Macinnae, Paleteang. Ada satu sumber 2026 yang menulis kecamatan berbeda; perlu cek koordinat lapangan saat finalisasi.</t>
  </si>
  <si>
    <t>74.912.57</t>
  </si>
  <si>
    <t>SPBU Menro</t>
  </si>
  <si>
    <t>Jl. Poros Pinrang–Parepare, Watang Pulu, Kec. Suppa, Kabupaten Pinrang, Sulawesi Selatan 91272</t>
  </si>
  <si>
    <t>Watang Pulu</t>
  </si>
  <si>
    <t>Suppa</t>
  </si>
  <si>
    <t>https://www.google.com/maps/search/?api=1&amp;query=SPBU+Pertamina+74.912.57+Menro+Pinrang</t>
  </si>
  <si>
    <t>Alamat Google memperjelas kecamatan Suppa dan kelurahan/desa Watang Pulu.</t>
  </si>
  <si>
    <t>74.912.67</t>
  </si>
  <si>
    <t>SPBU Bungi</t>
  </si>
  <si>
    <t>CV. MAHESA ANDARA</t>
  </si>
  <si>
    <t>BUNGI/DUAMPANUA</t>
  </si>
  <si>
    <t>Jalan Pinrang / Poros Pinrang–Polman, Bungi, Kec. Duampanua, Kabupaten Pinrang, Sulawesi Selatan 91253</t>
  </si>
  <si>
    <t>Bungi</t>
  </si>
  <si>
    <t>Duampanua</t>
  </si>
  <si>
    <t>https://www.google.com/maps/search/?api=1&amp;query=SPBU+Pertamina+74.912.67+Bungi+Pinrang</t>
  </si>
  <si>
    <t>Lokasi Google konsisten dengan Bungi, Duampanua.</t>
  </si>
  <si>
    <t>74.912.70</t>
  </si>
  <si>
    <t>SPBU Massila</t>
  </si>
  <si>
    <t>PT. ALQADRI RAMADHAN</t>
  </si>
  <si>
    <t>DS. MASSILA</t>
  </si>
  <si>
    <t>Jl. Poros Pinrang–Polman, kawasan Lampa/Katomporang (nama publik: SPBU Massila), Kec. Duampanua, Kabupaten Pinrang, Sulawesi Selatan 91253</t>
  </si>
  <si>
    <t>Lampa/Katomporang (perlu penetapan titik)</t>
  </si>
  <si>
    <t>Sedang</t>
  </si>
  <si>
    <t>https://www.google.com/maps/search/?api=1&amp;query=SPBU+Pertamina+74.912.70+Massila+Pinrang</t>
  </si>
  <si>
    <t>Ditjen Migas menulis DS. MASSILA; Google menempatkan pin di Lampa, sedangkan hasil agregasi Google lain menulis Katomporang. Wajib verifikasi koordinat/desa.</t>
  </si>
  <si>
    <t>APMS Barakasanda / Maritengngae</t>
  </si>
  <si>
    <t>PT. BAHTERA MAKMUR INDAH LESTARI</t>
  </si>
  <si>
    <t>BARAKASANDA</t>
  </si>
  <si>
    <t>Dusun Barakasanda, Desa Maritengngae, Kec. Suppa, Kabupaten Pinrang, Sulawesi Selatan 91272</t>
  </si>
  <si>
    <t>Maritengngae (Dusun Barakasanda)</t>
  </si>
  <si>
    <t>https://referensi.data.kemendikdasmen.go.id/pendidikan/npsn/40305210</t>
  </si>
  <si>
    <t>https://www.google.com/maps/search/?api=1&amp;query=APMS+Barakasanda+Maritengngae+Suppa+Pinrang</t>
  </si>
  <si>
    <t>Seri 76 secara resmi diklasifikasikan Kompak. Barakasanda berada di wilayah Maritengngae, Suppa. Sumber media 2026 menyebut 76.912.01 sebagai 'APMS Cempa', bertentangan dengan data resmi; jangan gunakan sebutan Cempa tanpa konfirmasi operator.</t>
  </si>
  <si>
    <t>76.912.02</t>
  </si>
  <si>
    <t>APMS Malimpung</t>
  </si>
  <si>
    <t>CV. HARAPAN JAYA</t>
  </si>
  <si>
    <t>MALIMPUNG RT.02/01 KEC. PATAMPANUA</t>
  </si>
  <si>
    <t>Jl. Poros Pinrang–Enrekang, Malimpung, Kec. Patampanua, Kabupaten Pinrang, Sulawesi Selatan 91252</t>
  </si>
  <si>
    <t>Malimpung</t>
  </si>
  <si>
    <t>Patampanua</t>
  </si>
  <si>
    <t>https://migas.esdm.go.id/cms/uploads/informasi-publik/BU_hilir/minyak_tw42024/penyalur_bbm/39b378cdc973cfb2840b100a927c6e23.pdf</t>
  </si>
  <si>
    <t>https://www.google.com/maps/search/?api=1&amp;query=APMS+76.912.02+Malimpung+Pinrang</t>
  </si>
  <si>
    <t>Google listing menyebut APMS 76.912.02 Malimpung; cocok dengan Ditjen Migas.</t>
  </si>
  <si>
    <t>76.912.03</t>
  </si>
  <si>
    <t>APMS Jampue</t>
  </si>
  <si>
    <t>CV. RIVAI BUKRI LIMA BERSAUDARA</t>
  </si>
  <si>
    <t>DESA JAMPUE KEC. LARINSANG</t>
  </si>
  <si>
    <t>Jalan Poros Pinrang–Parepare, Jampue, Kec. Lanrisang, Kabupaten Pinrang, Sulawesi Selatan 91272</t>
  </si>
  <si>
    <t>Jampue</t>
  </si>
  <si>
    <t>Lanrisang</t>
  </si>
  <si>
    <t>https://www.google.com/maps/search/?api=1&amp;query=APMS+Jampue+76.912.03+Pinrang</t>
  </si>
  <si>
    <t>Google listing APMS Jampue konsisten dengan alamat resmi.</t>
  </si>
  <si>
    <t>76.912.04</t>
  </si>
  <si>
    <t>APMS Langnga</t>
  </si>
  <si>
    <t>CV. RESKI ARYA MINASA</t>
  </si>
  <si>
    <t>JL. POROS LANGNGA APMS LANGNGA</t>
  </si>
  <si>
    <t>Langnga, Kec. Mattiro Sompe, Kabupaten Pinrang, Sulawesi Selatan 91261</t>
  </si>
  <si>
    <t>Langnga</t>
  </si>
  <si>
    <t>Mattiro Sompe</t>
  </si>
  <si>
    <t>https://www.google.com/maps/search/?api=1&amp;query=APMS+Langnga+76.912.04+Pinrang</t>
  </si>
  <si>
    <t>Alamat resmi menulis Jl. Poros Langnga APMS Langnga; Google mengonfirmasi Langnga, Mattiro Sompe.</t>
  </si>
  <si>
    <t>SPBU/APMS Cempa</t>
  </si>
  <si>
    <t>CV. PUTRA CEMPA MANDIRI</t>
  </si>
  <si>
    <t>KEL. CEMPA KEC. CEMPA</t>
  </si>
  <si>
    <t>Cempa, Kec. Cempa, Kabupaten Pinrang, Sulawesi Selatan 91217</t>
  </si>
  <si>
    <t>Cempa</t>
  </si>
  <si>
    <t>Konflik</t>
  </si>
  <si>
    <t>https://www.okita.news/2026/07/satreskrim-polres-pinrang-disorot.html</t>
  </si>
  <si>
    <t>https://www.google.com/maps/search/?api=1&amp;query=SPBU+Cempa+76.912.05+Pinrang</t>
  </si>
  <si>
    <t>JANGAN pindahkan alamat master ke Maritengngae hanya berdasarkan satu berita. Ditjen Migas 2024/2025 dan Google 'SPBU Cempa' selaras pada Cempa. Perlu surat/konfirmasi Pertamina untuk memastikan apakah terjadi relokasi atau salah penyebutan kode di media.</t>
  </si>
  <si>
    <t>76.912.06</t>
  </si>
  <si>
    <t>SPBU 76.912.06 Aressie</t>
  </si>
  <si>
    <t>CV. DASRIANI ENERGI ARESSIE</t>
  </si>
  <si>
    <t>DESA SAMATURUE</t>
  </si>
  <si>
    <t>Kel. Samaturue, Kec. Tiroang, Kabupaten Pinrang, Sulawesi Selatan</t>
  </si>
  <si>
    <t>Samaturue</t>
  </si>
  <si>
    <t>https://peraturan.bpk.go.id/Details/336967/perda-kab-pinrang-no-9-tahun-2019</t>
  </si>
  <si>
    <t>https://www.google.com/maps/search/?api=1&amp;query=SPBU+76.912.06+Aressie+Samaturue+Pinrang</t>
  </si>
  <si>
    <t>Dokumen operasional publik menyebut SPBU 76.912.06 Aressie. Samaturue secara administratif berada di Kecamatan Tiroang.</t>
  </si>
  <si>
    <t>76.912.07</t>
  </si>
  <si>
    <t>SPBU Kompak Mattirotasi</t>
  </si>
  <si>
    <t>CV. BERKAH MANDIRI IRAWAN</t>
  </si>
  <si>
    <t>MATTIROTASI, KEC. MATTIROSOMPE</t>
  </si>
  <si>
    <t>Mattiro Tasi, Kec. Mattiro Sompe, Kabupaten Pinrang, Sulawesi Selatan</t>
  </si>
  <si>
    <t>Mattiro Tasi</t>
  </si>
  <si>
    <t>https://referensi.data.kemendikdasmen.go.id/pendidikan/npsn/69925074</t>
  </si>
  <si>
    <t>https://www.google.com/maps/search/?api=1&amp;query=SPBU+76.912.07+Mattirotasi+Pinrang</t>
  </si>
  <si>
    <t>Lokasi administratif Mattiro Tasi, Kecamatan Mattiro Sompe terkonfirmasi. Sebutan APMS untuk kode ini belum terkonfirmasi pada pencarian publik terbaru.</t>
  </si>
  <si>
    <t>78.912.01</t>
  </si>
  <si>
    <t>CV. KARIMAH MARIO</t>
  </si>
  <si>
    <t>DESA BINANGA KARAENG KEC. LEMBANG</t>
  </si>
  <si>
    <t>Belum</t>
  </si>
  <si>
    <t>Semester I 2025</t>
  </si>
  <si>
    <t>https://www.google.com/maps/search/?api=1&amp;query=78.912.01+Pinrang</t>
  </si>
  <si>
    <t>Kode distandardisasi dari 7891201.</t>
  </si>
  <si>
    <t>7P91202</t>
  </si>
  <si>
    <t>CV. MAGFIRAH PRIMA IBR</t>
  </si>
  <si>
    <t>DESA MALIMPUNG, KEC. PATAMPANUA</t>
  </si>
  <si>
    <t>7P3C+M5J, Jl. Poros Pinrang-Enrekang, Malimpung, Kec. Patampanua, Kabupaten Pinrang, Sulawesi Selatan 91252</t>
  </si>
  <si>
    <t>Google Maps listing exact: Pertashop 7P.912.02</t>
  </si>
  <si>
    <t>https://www.google.com/maps/search/?api=1&amp;query=Pertashop+7P.912.02+Malimpung+Pinrang</t>
  </si>
  <si>
    <t>MATCH GOOGLE EXACT: nama listing memuat kode 7P.912.02 dan alamat Malimpung, Patampanua.</t>
  </si>
  <si>
    <t>7P91207</t>
  </si>
  <si>
    <t>CV. RIYAN PUTRA SEJAHTERA</t>
  </si>
  <si>
    <t>PITUMPANUA, KEC. MALIMPUNG</t>
  </si>
  <si>
    <t>7PRR+4XP, Jl. Poros Pinrang-Enrekang, Malimpung, Kec. Patampanua, Kabupaten Pinrang, Sulawesi Selatan 91252</t>
  </si>
  <si>
    <t>Pitumpanua / Malimpung (perlu konfirmasi)</t>
  </si>
  <si>
    <t>Google Maps listing: Pertashop (kode tidak tampil); kandidat terdekat dengan alamat resmi 7P91207</t>
  </si>
  <si>
    <t>https://www.google.com/maps/search/?api=1&amp;query=Pertashop+Pitumpanua+Malimpung+Pinrang</t>
  </si>
  <si>
    <t>KANDIDAT GOOGLE: listing Pertashop berada di koridor Malimpung. Kode tidak tampil. Alamat resmi 'Pitumpanua, Kec. Malimpung' juga perlu koreksi administrasi karena Malimpung bukan kecamatan.</t>
  </si>
  <si>
    <t>7P91208</t>
  </si>
  <si>
    <t>CV. PUTRA AZIS MANDIRI</t>
  </si>
  <si>
    <t>DESA PACONGANG KEC. PALETEANG</t>
  </si>
  <si>
    <t>6J9X+7F2, Jl. Monginsidi, Pacongang, Kec. Paleteang, Kabupaten Pinrang, Sulawesi Selatan 91215</t>
  </si>
  <si>
    <t>Pacongang</t>
  </si>
  <si>
    <t>Google Maps listing: Pertamina/Pom bensin di Pacongang; kode tidak tampil</t>
  </si>
  <si>
    <t>https://www.google.com/maps/search/?api=1&amp;query=Pertashop+7P91208+Pacongang+Paleteang+Pinrang</t>
  </si>
  <si>
    <t>PROBABLE MATCH: lokasi Google berada tepat di Pacongang, Paleteang sesuai alamat resmi 7P91208, tetapi nama listing tidak menampilkan kode.</t>
  </si>
  <si>
    <t>7P91209</t>
  </si>
  <si>
    <t>CV. ADE ATIRA JAYA</t>
  </si>
  <si>
    <t>DESA WAETUOE KEC. LASINRANG</t>
  </si>
  <si>
    <t>Waetuoe, Kec. Lanrisang, Kabupaten Pinrang, Sulawesi Selatan</t>
  </si>
  <si>
    <t>Waetuoe</t>
  </si>
  <si>
    <t>Google Maps address search; exact business listing/kode belum terindeks jelas</t>
  </si>
  <si>
    <t>https://www.google.com/maps/search/?api=1&amp;query=Pertashop+Waetuoe+Lanrisang+Pinrang</t>
  </si>
  <si>
    <t>ALAMAT DAPAT DIPETAKAN: Ditjen Migas menulis Waetuoe, Lanrisang. Google dapat mengarahkan ke wilayah tersebut, tetapi listing 7P91209 belum ditemukan dengan kode exact.</t>
  </si>
  <si>
    <t>7P91210</t>
  </si>
  <si>
    <t>CV. ARSAL SEHATI PEKKABATA</t>
  </si>
  <si>
    <t>DESA TATAE, KEC. DUAMPANUA</t>
  </si>
  <si>
    <t>Tatae, Kec. Duampanua, Kabupaten Pinrang, Sulawesi Selatan</t>
  </si>
  <si>
    <t>Tatae</t>
  </si>
  <si>
    <t>https://www.google.com/maps/search/?api=1&amp;query=Pertashop+7P91210+Tatae+Duampanua+Pinrang</t>
  </si>
  <si>
    <t>ALAMAT DAPAT DIPETAKAN dari alamat resmi Tatae, Duampanua. Kode exact belum muncul pada listing Google yang terindeks.</t>
  </si>
  <si>
    <t>7P91212</t>
  </si>
  <si>
    <t>CV. NURCAHAYA BENTENG ABADI</t>
  </si>
  <si>
    <t>DESA BENTENG KEC. PATAMPANUA</t>
  </si>
  <si>
    <t>7MXC+PQW, Jl. Bendung Benteng, Benteng, Kec. Patampanua, Kabupaten Pinrang, Sulawesi Selatan 91252</t>
  </si>
  <si>
    <t>Benteng</t>
  </si>
  <si>
    <t>Google Maps listing: PERTAMINA/Pom bensin di Benteng; kode tidak tampil</t>
  </si>
  <si>
    <t>https://www.google.com/maps/search/?api=1&amp;query=Pertashop+7P91212+Benteng+Patampanua+Pinrang</t>
  </si>
  <si>
    <t>PROBABLE MATCH: titik Google berada di Benteng, Patampanua sesuai alamat resmi 7P91212. Perlu foto nomor lambung untuk konfirmasi kode.</t>
  </si>
  <si>
    <t>7P91213</t>
  </si>
  <si>
    <t>CV. EHERAS JAYA MANDIRI</t>
  </si>
  <si>
    <t>JL. POROS LABOLONG AMMANI SIWOLONG</t>
  </si>
  <si>
    <t>Jl. Poros Labolong-Ammani, koridor Mattongang Tongang–Siwolong Polong, Kec. Mattiro Sompe, Kabupaten Pinrang, Sulawesi Selatan</t>
  </si>
  <si>
    <t>Labolong / Siwolong Polong (koridor)</t>
  </si>
  <si>
    <t>Google Maps address search + verifikasi administrasi ruas Labolong-Ammani</t>
  </si>
  <si>
    <t>https://www.google.com/maps/search/?api=1&amp;query=Pertashop+7P91213+Labolong+Ammani+Pinrang</t>
  </si>
  <si>
    <t>ALAMAT DIPERBAIKI: ruas Labolong-Ammani berada di Kecamatan Mattiro Sompe. Listing bisnis dengan kode exact belum ditemukan; titik perlu dikunci melalui foto/lokasi operator.</t>
  </si>
  <si>
    <t>7P91214</t>
  </si>
  <si>
    <t>CV. DUA PUTRA HAFIDZ</t>
  </si>
  <si>
    <t>DESA SIPARAPPE, KEC. WATANG SAWITTO</t>
  </si>
  <si>
    <t>6JF8+HXQ, Siparappe, Kec. Watang Sawitto, Kabupaten Pinrang, Sulawesi Selatan 91216</t>
  </si>
  <si>
    <t>Siparappe</t>
  </si>
  <si>
    <t>Google Maps listing exact: Pertashop Siparappe CV. 2 Putra Hafidz 7P.91214</t>
  </si>
  <si>
    <t>https://www.google.com/maps/search/?api=1&amp;query=Pertashop+Siparappe+7P.91214+Pinrang</t>
  </si>
  <si>
    <t>MATCH GOOGLE EXACT: kode, nama CV Dua Putra Hafidz, dan lokasi Siparappe sesuai database resmi.</t>
  </si>
  <si>
    <t>7P91215</t>
  </si>
  <si>
    <t>CV. INSAN RAJAWALI PERSADA</t>
  </si>
  <si>
    <t>JALAN POROS PINRANG POLMAN KM. 27</t>
  </si>
  <si>
    <t>Jl. Poros Pinrang-Polman No. Km. 26, Data, Kec. Duampanua, Kabupaten Pinrang, Sulawesi Selatan 91251</t>
  </si>
  <si>
    <t>Data</t>
  </si>
  <si>
    <t>Google Maps listing exact: PERTASHOP 7P91215 PINRANG</t>
  </si>
  <si>
    <t>https://www.google.com/maps/search/?api=1&amp;query=PERTASHOP+7P91215+PINRANG</t>
  </si>
  <si>
    <t>MATCH GOOGLE EXACT: kode 7P91215 dan Desa/Kelurahan Data cocok. Catatan: Google menulis KM 26, data resmi menulis KM 27; perlu cek patok kilometer saat verifikasi lapangan.</t>
  </si>
  <si>
    <t>Sumber</t>
  </si>
  <si>
    <t>https://www.patrolikpknews.com/2026/03/bertahun-tahun-mafia-bbm-subsidi.html</t>
  </si>
  <si>
    <t>REFERENSI &amp; METODOLOGI</t>
  </si>
  <si>
    <t>Periode</t>
  </si>
  <si>
    <t>Kegunaan</t>
  </si>
  <si>
    <t>URL</t>
  </si>
  <si>
    <t>Ditjen Migas — Portal Badan Usaha Hilir &amp; Penyalur Migas</t>
  </si>
  <si>
    <t>Semester I 2026</t>
  </si>
  <si>
    <t>Menentukan referensi publik terbaru</t>
  </si>
  <si>
    <t>https://migas.esdm.go.id/page/Badan-Usaha-Hilir-dan-Penyalur-Migas</t>
  </si>
  <si>
    <t>Portal resmi telah memuat daftar penyalur BBM Semester I 2026.</t>
  </si>
  <si>
    <t>Ditjen Migas — Penyalur Retail PT Pertamina Patra Niaga</t>
  </si>
  <si>
    <t>Nama badan usaha, alamat resmi, kabupaten/kota, status operasi</t>
  </si>
  <si>
    <t>Basis 27 baris master.</t>
  </si>
  <si>
    <t>Ditjen Migas — Data penyalur PT Pertamina Patra Niaga</t>
  </si>
  <si>
    <t>TW IV 2024</t>
  </si>
  <si>
    <t>Klasifikasi seri 76 sebagai Kompak + alamat</t>
  </si>
  <si>
    <t>Digunakan untuk koreksi istilah SPBU Kompak/APMS.</t>
  </si>
  <si>
    <t>Google Maps / Google Places</t>
  </si>
  <si>
    <t>Pencarian terkini 31 Agustus 2026</t>
  </si>
  <si>
    <t>Sinkronisasi nama lokasi dan alamat aktual</t>
  </si>
  <si>
    <t>https://www.google.com/maps</t>
  </si>
  <si>
    <t>Tautan pencarian per outlet tersedia di kolom Google Maps Search.</t>
  </si>
  <si>
    <t>Gema News — monitoring SPBU Pangaparang</t>
  </si>
  <si>
    <t>23 Agustus 2026</t>
  </si>
  <si>
    <t>Verifikasi 74.912.14 = Pangaparang, Binanga Karaeng, Lembang</t>
  </si>
  <si>
    <t>Sumber lokal terbaru untuk lokasi.</t>
  </si>
  <si>
    <t>Ajatappareng Online — monitoring SPBU Tiroang</t>
  </si>
  <si>
    <t>29 Juli 2026</t>
  </si>
  <si>
    <t>Verifikasi operasional 74.912.02 Tiroang</t>
  </si>
  <si>
    <t>Sumber lokal terbaru.</t>
  </si>
  <si>
    <t>Okita News — APMS Suppa</t>
  </si>
  <si>
    <t>8 Juli 2026</t>
  </si>
  <si>
    <t>Menemukan konflik kode/alamat 76.912.05</t>
  </si>
  <si>
    <t>Dipakai sebagai penanda konflik, bukan menggantikan data resmi.</t>
  </si>
  <si>
    <t>Pemberitaan lokal daftar SPBU/APMS Pinrang</t>
  </si>
  <si>
    <t>24 Maret 2026</t>
  </si>
  <si>
    <t>Sebutan lokal 10 SPBU + 5 APMS</t>
  </si>
  <si>
    <t>Digunakan hanya untuk nomenklatur/sebutan lapangan; tidak untuk tuduhan dalam isi berita.</t>
  </si>
  <si>
    <t>Perda Kab. Pinrang No. 9 Tahun 2019</t>
  </si>
  <si>
    <t>Berlaku</t>
  </si>
  <si>
    <t>Validasi Samaturue berada di Kecamatan Tiroang</t>
  </si>
  <si>
    <t>Rujukan administrasi wilayah.</t>
  </si>
  <si>
    <t>Kemendikdasmen — referensi Barakasanda</t>
  </si>
  <si>
    <t>Aktif</t>
  </si>
  <si>
    <t>Validasi Barakasanda berada di Kecamatan Suppa</t>
  </si>
  <si>
    <t>Kemendikdasmen — referensi Mattiro Tasi</t>
  </si>
  <si>
    <t>Validasi Mattiro Tasi berada di Kecamatan Mattiro Sompe</t>
  </si>
  <si>
    <t>Kecamatan</t>
  </si>
  <si>
    <t>SINKRONISASI POSISI PERTASHOP KABUPATEN PINRANG — GOOGLE / DATA RESMI</t>
  </si>
  <si>
    <t>Status MATCH EXACT berarti kode Pertashop tampil langsung pada listing Google. PROBABLE berarti lokasi/nama cocok tetapi kode tidak ditampilkan. ADDRESS-ONLY berarti titik dapat dicari dari alamat resmi namun listing bisnis belum terindeks jelas.</t>
  </si>
  <si>
    <t>Kode</t>
  </si>
  <si>
    <t>Nama Badan Usaha</t>
  </si>
  <si>
    <t>Alamat Resmi</t>
  </si>
  <si>
    <t>Posisi/Alamat Google</t>
  </si>
  <si>
    <t>Level Match</t>
  </si>
  <si>
    <t>Nama Listing Google</t>
  </si>
  <si>
    <t>Plus Code</t>
  </si>
  <si>
    <t>Desa Malimpung, Kec. Patampanua</t>
  </si>
  <si>
    <t>Jl. Poros Pinrang-Enrekang, Malimpung, Kec. Patampanua, Pinrang 91252</t>
  </si>
  <si>
    <t>MATCH EXACT</t>
  </si>
  <si>
    <t>Pertashop 7P.912.02</t>
  </si>
  <si>
    <t>7P3C+M5J</t>
  </si>
  <si>
    <t>Kode dan alamat sama-sama tampil jelas.</t>
  </si>
  <si>
    <t>Pitumpanua, Kec. Malimpung</t>
  </si>
  <si>
    <t>PROBABLE</t>
  </si>
  <si>
    <t>7PRR+4XP</t>
  </si>
  <si>
    <t>Listing tanpa kode. Alamat resmi juga mengandung anomali 'Kec. Malimpung'.</t>
  </si>
  <si>
    <t>Desa Pacongang, Kec. Paleteang</t>
  </si>
  <si>
    <t>Jl. Monginsidi, Pacongang, Kec. Paleteang, Pinrang 91215</t>
  </si>
  <si>
    <t>Pertamina / Pom bensin</t>
  </si>
  <si>
    <t>6J9X+7F2</t>
  </si>
  <si>
    <t>Lokasi sangat cocok, kode tidak tampil pada listing.</t>
  </si>
  <si>
    <t>Desa Waetuoe, Kec. Lanrisang</t>
  </si>
  <si>
    <t>Waetuoe, Kec. Lanrisang, Kabupaten Pinrang</t>
  </si>
  <si>
    <t>ADDRESS-ONLY</t>
  </si>
  <si>
    <t>Belum ditemukan exact</t>
  </si>
  <si>
    <t>Wilayah dapat dipetakan; listing bisnis dengan kode belum ditemukan.</t>
  </si>
  <si>
    <t>Desa Tatae, Kec. Duampanua</t>
  </si>
  <si>
    <t>Tatae, Kec. Duampanua, Kabupaten Pinrang</t>
  </si>
  <si>
    <t>Wilayah dapat dipetakan; perlu konfirmasi titik outlet.</t>
  </si>
  <si>
    <t>Desa Benteng, Kec. Patampanua</t>
  </si>
  <si>
    <t>Jl. Bendung Benteng, Benteng, Kec. Patampanua, Pinrang 91252</t>
  </si>
  <si>
    <t>PERTAMINA / Pom bensin</t>
  </si>
  <si>
    <t>7MXC+PQW</t>
  </si>
  <si>
    <t>Lokasi cocok dengan desa/kecamatan; kode tidak tampil.</t>
  </si>
  <si>
    <t>Jl. Poros Labolong Ammani Siwolong</t>
  </si>
  <si>
    <t>Koridor Jl. Labolong-Ammani, Mattiro Sompe, Kabupaten Pinrang</t>
  </si>
  <si>
    <t>Ruas Labolong-Ammani terverifikasi berada di Mattiro Sompe; exact pin outlet perlu verifikasi.</t>
  </si>
  <si>
    <t>Desa Siparappe, Kec. Watang Sawitto</t>
  </si>
  <si>
    <t>Siparappe, Kec. Watang Sawitto, Pinrang 91216</t>
  </si>
  <si>
    <t>Pertashop Siparappe CV. 2 Putra Hafidz 7P.91214</t>
  </si>
  <si>
    <t>6JF8+HXQ</t>
  </si>
  <si>
    <t>Kode, nama CV, dan lokasi cocok.</t>
  </si>
  <si>
    <t>Jl. Poros Pinrang-Polman KM 27</t>
  </si>
  <si>
    <t>Jl. Poros Pinrang-Polman KM 26, Data, Kec. Duampanua, Pinrang 91251</t>
  </si>
  <si>
    <t>PERTASHOP 7P91215 PINRANG</t>
  </si>
  <si>
    <t>Kode exact cocok. Perbedaan KM 26 (Google) vs KM 27 (resmi) perlu cek lapangan.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</si>
</sst>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0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i/>
      <sz val="10"/>
      <color rgb="FF17365D"/>
      <name val="Carlito"/>
    </font>
    <font>
      <b/>
      <sz val="10"/>
      <color rgb="FF000000"/>
      <name val="Carlito"/>
    </font>
    <font>
      <sz val="10"/>
      <color rgb="FF000000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1" fillId="6" borderId="0" xfId="0" applyFont="1" applyFill="1" applyAlignment="1">
      <alignment horizontal="center" vertical="top" wrapText="1"/>
    </xf>
    <xf numFmtId="0" fontId="0" fillId="0" borderId="5" xfId="0" applyBorder="1" applyAlignment="1">
      <alignment vertical="top"/>
    </xf>
    <xf numFmtId="0" fontId="1" fillId="6" borderId="4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0" borderId="0" xfId="0" applyFont="1"/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6" fillId="7" borderId="0" xfId="0" applyFont="1" applyFill="1"/>
    <xf numFmtId="0" fontId="8" fillId="10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7" fillId="8" borderId="0" xfId="0" applyFont="1" applyFill="1" applyAlignment="1">
      <alignment horizontal="center" vertical="center"/>
    </xf>
    <xf numFmtId="0" fontId="0" fillId="9" borderId="0" xfId="0" applyFill="1" applyAlignment="1">
      <alignment wrapText="1"/>
    </xf>
  </cellXfs>
  <cellStyles count="1">
    <cellStyle name="Normal" xfId="0" builtinId="0"/>
  </cellStyles>
  <dxfs count="10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/>
          <a:lstStyle/>
          <a:p>
            <a:r>
              <a:rPr lang="en-ID"/>
              <a:t>Komposisi Penyalur BBM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Ringkasan!$A$4:$A$7</c:f>
              <c:strCache>
                <c:ptCount val="4"/>
                <c:pt idx="0">
                  <c:v>SPBU Reguler</c:v>
                </c:pt>
                <c:pt idx="1">
                  <c:v>SPBU Kompak / Seri 76</c:v>
                </c:pt>
                <c:pt idx="2">
                  <c:v>SPBUN / Nelayan</c:v>
                </c:pt>
                <c:pt idx="3">
                  <c:v>Pertashop</c:v>
                </c:pt>
              </c:strCache>
            </c:strRef>
          </c:cat>
          <c:val>
            <c:numRef>
              <c:f>Ringkasan!$B$4:$B$7</c:f>
              <c:numCache>
                <c:formatCode>General</c:formatCode>
                <c:ptCount val="4"/>
                <c:pt idx="0">
                  <c:v>10</c:v>
                </c:pt>
                <c:pt idx="1">
                  <c:v>7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7-4F20-96BD-16EE99C05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PenyalurTable" displayName="MasterPenyalurTable" ref="A4:V31" totalsRowShown="0">
  <tableColumns count="22">
    <tableColumn id="1" xr3:uid="{00000000-0010-0000-0000-000001000000}" name="No"/>
    <tableColumn id="2" xr3:uid="{00000000-0010-0000-0000-000002000000}" name="Kode Penyalur"/>
    <tableColumn id="3" xr3:uid="{00000000-0010-0000-0000-000003000000}" name="Jenis Penyalur"/>
    <tableColumn id="4" xr3:uid="{00000000-0010-0000-0000-000004000000}" name="Nama Penyalur / Badan Usaha"/>
    <tableColumn id="5" xr3:uid="{00000000-0010-0000-0000-000005000000}" name="Alamat Resmi (sesuai sumber)"/>
    <tableColumn id="6" xr3:uid="{00000000-0010-0000-0000-000006000000}" name="Kecamatan (normalisasi)"/>
    <tableColumn id="7" xr3:uid="{00000000-0010-0000-0000-000007000000}" name="Kabupaten/Kota"/>
    <tableColumn id="8" xr3:uid="{00000000-0010-0000-0000-000008000000}" name="Status Operasi"/>
    <tableColumn id="9" xr3:uid="{00000000-0010-0000-0000-000009000000}" name="Status Verifikasi"/>
    <tableColumn id="10" xr3:uid="{00000000-0010-0000-0000-00000A000000}" name="Basis Detail"/>
    <tableColumn id="11" xr3:uid="{00000000-0010-0000-0000-00000B000000}" name="Sumber Detail"/>
    <tableColumn id="12" xr3:uid="{00000000-0010-0000-0000-00000C000000}" name="Sumber Terbaru"/>
    <tableColumn id="13" xr3:uid="{00000000-0010-0000-0000-00000D000000}" name="Latitude"/>
    <tableColumn id="14" xr3:uid="{00000000-0010-0000-0000-00000E000000}" name="Longitude"/>
    <tableColumn id="15" xr3:uid="{00000000-0010-0000-0000-00000F000000}" name="Produk BBM"/>
    <tableColumn id="16" xr3:uid="{00000000-0010-0000-0000-000010000000}" name="JBT (Solar Subsidi)"/>
    <tableColumn id="17" xr3:uid="{00000000-0010-0000-0000-000011000000}" name="JBKP (Pertalite)"/>
    <tableColumn id="18" xr3:uid="{00000000-0010-0000-0000-000012000000}" name="Kuota JBT"/>
    <tableColumn id="19" xr3:uid="{00000000-0010-0000-0000-000013000000}" name="Kuota JBKP"/>
    <tableColumn id="20" xr3:uid="{00000000-0010-0000-0000-000014000000}" name="Realisasi Periode"/>
    <tableColumn id="21" xr3:uid="{00000000-0010-0000-0000-000015000000}" name="Tanggal Verifikasi Lokal"/>
    <tableColumn id="22" xr3:uid="{00000000-0010-0000-0000-000016000000}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erensiTable" displayName="ReferensiTable" ref="A3:F6" totalsRowShown="0">
  <tableColumns count="6">
    <tableColumn id="1" xr3:uid="{00000000-0010-0000-0200-000001000000}" name="No"/>
    <tableColumn id="2" xr3:uid="{00000000-0010-0000-0200-000002000000}" name="Sumber"/>
    <tableColumn id="3" xr3:uid="{00000000-0010-0000-0200-000003000000}" name="Periode"/>
    <tableColumn id="4" xr3:uid="{00000000-0010-0000-0200-000004000000}" name="Kegunaan"/>
    <tableColumn id="5" xr3:uid="{00000000-0010-0000-0200-000005000000}" name="URL"/>
    <tableColumn id="6" xr3:uid="{00000000-0010-0000-0200-000006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0" workbookViewId="0">
      <selection activeCell="B31" sqref="B31"/>
    </sheetView>
  </sheetViews>
  <sheetFormatPr defaultRowHeight="14.25"/>
  <cols>
    <col min="1" max="1" width="30" customWidth="1"/>
    <col min="2" max="2" width="78" customWidth="1"/>
    <col min="3" max="7" width="12" customWidth="1"/>
    <col min="8" max="8" width="36.75" customWidth="1"/>
  </cols>
  <sheetData>
    <row r="1" spans="1:8" ht="27.95" customHeight="1">
      <c r="A1" s="30" t="s">
        <v>0</v>
      </c>
      <c r="B1" s="30"/>
      <c r="C1" s="30"/>
      <c r="D1" s="30"/>
      <c r="E1" s="30"/>
      <c r="F1" s="30"/>
      <c r="G1" s="30"/>
      <c r="H1" s="30"/>
    </row>
    <row r="3" spans="1:8">
      <c r="A3" s="4" t="s">
        <v>1</v>
      </c>
      <c r="B3" s="4" t="s">
        <v>2</v>
      </c>
    </row>
    <row r="4" spans="1:8">
      <c r="A4" s="18" t="s">
        <v>3</v>
      </c>
      <c r="B4" s="19">
        <f>COUNTIF('Master Penyalur'!$C$5:$C$31,"SPBU Reguler")</f>
        <v>10</v>
      </c>
    </row>
    <row r="5" spans="1:8">
      <c r="A5" s="20" t="s">
        <v>4</v>
      </c>
      <c r="B5" s="21">
        <f>COUNTIF('Master Penyalur'!$C$5:$C$31,"SPBU Kompak / Seri 76")</f>
        <v>7</v>
      </c>
    </row>
    <row r="6" spans="1:8">
      <c r="A6" s="20" t="s">
        <v>5</v>
      </c>
      <c r="B6" s="21">
        <f>COUNTIF('Master Penyalur'!$C$5:$C$31,"SPBUN / Nelayan")</f>
        <v>1</v>
      </c>
    </row>
    <row r="7" spans="1:8">
      <c r="A7" s="20" t="s">
        <v>6</v>
      </c>
      <c r="B7" s="21">
        <f>COUNTIF('Master Penyalur'!$C$5:$C$31,"Pertashop")</f>
        <v>9</v>
      </c>
    </row>
    <row r="8" spans="1:8" ht="15">
      <c r="A8" s="22" t="s">
        <v>7</v>
      </c>
      <c r="B8" s="23">
        <f>SUM(B4:B7)</f>
        <v>27</v>
      </c>
    </row>
    <row r="10" spans="1:8">
      <c r="A10" s="4" t="s">
        <v>8</v>
      </c>
      <c r="B10" s="4" t="s">
        <v>2</v>
      </c>
    </row>
    <row r="11" spans="1:8">
      <c r="A11" t="s">
        <v>9</v>
      </c>
      <c r="B11">
        <f>COUNTIF('Master Penyalur'!$L$5:$L$31,"Tinggi")</f>
        <v>15</v>
      </c>
    </row>
    <row r="12" spans="1:8">
      <c r="A12" t="s">
        <v>10</v>
      </c>
      <c r="B12">
        <f>COUNTIF('Master Penyalur'!$L$5:$L$31,"Sedang")</f>
        <v>10</v>
      </c>
    </row>
    <row r="13" spans="1:8">
      <c r="A13" t="s">
        <v>11</v>
      </c>
      <c r="B13">
        <f>COUNTIF('Master Penyalur'!$L$5:$L$31,"Konflik")</f>
        <v>1</v>
      </c>
    </row>
    <row r="14" spans="1:8">
      <c r="A14" t="s">
        <v>12</v>
      </c>
      <c r="B14">
        <f>COUNTIF('Master Penyalur'!$L$5:$L$31,"Belum")</f>
        <v>1</v>
      </c>
    </row>
    <row r="15" spans="1:8" ht="8.1" customHeight="1">
      <c r="A15" s="25"/>
      <c r="B15" s="25"/>
      <c r="C15" s="25"/>
      <c r="D15" s="25"/>
      <c r="E15" s="25"/>
      <c r="F15" s="25"/>
      <c r="G15" s="25"/>
      <c r="H15" s="25"/>
    </row>
    <row r="16" spans="1:8" ht="24" customHeight="1">
      <c r="A16" s="31" t="s">
        <v>13</v>
      </c>
      <c r="B16" s="31"/>
      <c r="C16" s="31"/>
      <c r="D16" s="31"/>
      <c r="E16" s="31"/>
      <c r="F16" s="31"/>
      <c r="G16" s="31"/>
      <c r="H16" s="31"/>
    </row>
    <row r="17" spans="1:8" ht="45.95" customHeight="1">
      <c r="A17" s="26" t="s">
        <v>14</v>
      </c>
      <c r="B17" s="27" t="s">
        <v>15</v>
      </c>
      <c r="C17" s="27"/>
      <c r="D17" s="27"/>
      <c r="E17" s="27"/>
      <c r="F17" s="27"/>
      <c r="G17" s="27"/>
      <c r="H17" s="27"/>
    </row>
    <row r="18" spans="1:8" ht="45.95" customHeight="1">
      <c r="A18" s="26" t="s">
        <v>16</v>
      </c>
      <c r="B18" s="27" t="s">
        <v>17</v>
      </c>
      <c r="C18" s="27"/>
      <c r="D18" s="27"/>
      <c r="E18" s="27"/>
      <c r="F18" s="27"/>
      <c r="G18" s="27"/>
      <c r="H18" s="27"/>
    </row>
    <row r="19" spans="1:8" ht="45.95" customHeight="1">
      <c r="A19" s="26" t="s">
        <v>18</v>
      </c>
      <c r="B19" s="27" t="s">
        <v>19</v>
      </c>
      <c r="C19" s="27"/>
      <c r="D19" s="27"/>
      <c r="E19" s="27"/>
      <c r="F19" s="27"/>
      <c r="G19" s="27"/>
      <c r="H19" s="27"/>
    </row>
    <row r="20" spans="1:8" ht="45.95" customHeight="1">
      <c r="A20" s="26" t="s">
        <v>20</v>
      </c>
      <c r="B20" s="27" t="s">
        <v>21</v>
      </c>
      <c r="C20" s="28"/>
      <c r="D20" s="28"/>
      <c r="E20" s="28"/>
      <c r="F20" s="28"/>
      <c r="G20" s="28"/>
      <c r="H20" s="28"/>
    </row>
    <row r="21" spans="1:8" ht="45.95" customHeight="1">
      <c r="A21" s="26" t="s">
        <v>22</v>
      </c>
      <c r="B21" s="27" t="s">
        <v>23</v>
      </c>
      <c r="C21" s="28"/>
      <c r="D21" s="28"/>
      <c r="E21" s="28"/>
      <c r="F21" s="28"/>
      <c r="G21" s="28"/>
      <c r="H21" s="28"/>
    </row>
    <row r="22" spans="1:8" ht="15">
      <c r="A22" s="3"/>
      <c r="B22" s="1"/>
    </row>
    <row r="23" spans="1:8" ht="15">
      <c r="A23" s="3" t="s">
        <v>24</v>
      </c>
      <c r="B23" s="1" t="s">
        <v>25</v>
      </c>
    </row>
    <row r="24" spans="1:8" ht="15">
      <c r="A24" s="24" t="s">
        <v>26</v>
      </c>
      <c r="B24" t="s">
        <v>27</v>
      </c>
    </row>
    <row r="25" spans="1:8" ht="15">
      <c r="A25" s="24" t="s">
        <v>28</v>
      </c>
      <c r="B25" t="s">
        <v>29</v>
      </c>
    </row>
  </sheetData>
  <mergeCells count="2">
    <mergeCell ref="A1:H1"/>
    <mergeCell ref="A16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topLeftCell="A25" workbookViewId="0">
      <selection activeCell="A2" sqref="A2:Z2"/>
    </sheetView>
  </sheetViews>
  <sheetFormatPr defaultRowHeight="14.25"/>
  <cols>
    <col min="1" max="1" width="5" customWidth="1"/>
    <col min="2" max="2" width="13" customWidth="1"/>
    <col min="3" max="3" width="22" customWidth="1"/>
    <col min="4" max="4" width="25" customWidth="1"/>
    <col min="5" max="5" width="28" customWidth="1"/>
    <col min="6" max="6" width="36" customWidth="1"/>
    <col min="7" max="7" width="42" customWidth="1"/>
    <col min="8" max="8" width="24" customWidth="1"/>
    <col min="9" max="9" width="19" customWidth="1"/>
    <col min="10" max="10" width="20" customWidth="1"/>
    <col min="11" max="11" width="14" customWidth="1"/>
    <col min="12" max="12" width="34" customWidth="1"/>
    <col min="13" max="13" width="24" customWidth="1"/>
    <col min="14" max="15" width="38" customWidth="1"/>
    <col min="16" max="16" width="42" customWidth="1"/>
    <col min="17" max="18" width="12" customWidth="1"/>
    <col min="19" max="21" width="18" customWidth="1"/>
    <col min="22" max="23" width="14" customWidth="1"/>
    <col min="24" max="25" width="18" customWidth="1"/>
    <col min="26" max="26" width="48" customWidth="1"/>
  </cols>
  <sheetData>
    <row r="1" spans="1:26" ht="27.95" customHeight="1">
      <c r="A1" s="32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4"/>
    </row>
    <row r="2" spans="1:26" ht="33.950000000000003" customHeight="1">
      <c r="A2" s="35" t="s">
        <v>31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7"/>
    </row>
    <row r="3" spans="1:26">
      <c r="A3" s="13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</row>
    <row r="4" spans="1:26" ht="42" customHeight="1">
      <c r="A4" s="8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  <c r="M4" s="6" t="s">
        <v>44</v>
      </c>
      <c r="N4" s="6" t="s">
        <v>45</v>
      </c>
      <c r="O4" s="6" t="s">
        <v>46</v>
      </c>
      <c r="P4" s="6" t="s">
        <v>47</v>
      </c>
      <c r="Q4" s="6" t="s">
        <v>48</v>
      </c>
      <c r="R4" s="6" t="s">
        <v>49</v>
      </c>
      <c r="S4" s="6" t="s">
        <v>50</v>
      </c>
      <c r="T4" s="6" t="s">
        <v>51</v>
      </c>
      <c r="U4" s="6" t="s">
        <v>52</v>
      </c>
      <c r="V4" s="6" t="s">
        <v>53</v>
      </c>
      <c r="W4" s="6" t="s">
        <v>54</v>
      </c>
      <c r="X4" s="6" t="s">
        <v>55</v>
      </c>
      <c r="Y4" s="6" t="s">
        <v>56</v>
      </c>
      <c r="Z4" s="9" t="s">
        <v>57</v>
      </c>
    </row>
    <row r="5" spans="1:26" ht="51.95" customHeight="1">
      <c r="A5" s="14">
        <v>1</v>
      </c>
      <c r="B5" s="16" t="s">
        <v>58</v>
      </c>
      <c r="C5" s="2" t="s">
        <v>3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9</v>
      </c>
      <c r="M5" s="2" t="s">
        <v>67</v>
      </c>
      <c r="N5" s="2" t="s">
        <v>29</v>
      </c>
      <c r="O5" s="2" t="s">
        <v>68</v>
      </c>
      <c r="P5" s="2" t="s">
        <v>69</v>
      </c>
      <c r="Q5" s="2"/>
      <c r="R5" s="2"/>
      <c r="S5" s="2"/>
      <c r="T5" s="2"/>
      <c r="U5" s="2"/>
      <c r="V5" s="2"/>
      <c r="W5" s="2"/>
      <c r="X5" s="2"/>
      <c r="Y5" s="2"/>
      <c r="Z5" s="10" t="s">
        <v>70</v>
      </c>
    </row>
    <row r="6" spans="1:26" ht="51.95" customHeight="1">
      <c r="A6" s="14">
        <v>2</v>
      </c>
      <c r="B6" s="16" t="s">
        <v>71</v>
      </c>
      <c r="C6" s="2" t="s">
        <v>3</v>
      </c>
      <c r="D6" s="2" t="s">
        <v>72</v>
      </c>
      <c r="E6" s="2" t="s">
        <v>60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65</v>
      </c>
      <c r="K6" s="2" t="s">
        <v>66</v>
      </c>
      <c r="L6" s="2" t="s">
        <v>9</v>
      </c>
      <c r="M6" s="2" t="s">
        <v>67</v>
      </c>
      <c r="N6" s="2" t="s">
        <v>29</v>
      </c>
      <c r="O6" s="2" t="s">
        <v>77</v>
      </c>
      <c r="P6" s="2" t="s">
        <v>78</v>
      </c>
      <c r="Q6" s="2"/>
      <c r="R6" s="2"/>
      <c r="S6" s="2"/>
      <c r="T6" s="2"/>
      <c r="U6" s="2"/>
      <c r="V6" s="2"/>
      <c r="W6" s="2"/>
      <c r="X6" s="2"/>
      <c r="Y6" s="2"/>
      <c r="Z6" s="10" t="s">
        <v>79</v>
      </c>
    </row>
    <row r="7" spans="1:26" ht="51.95" customHeight="1">
      <c r="A7" s="14">
        <v>3</v>
      </c>
      <c r="B7" s="16" t="s">
        <v>80</v>
      </c>
      <c r="C7" s="2" t="s">
        <v>3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65</v>
      </c>
      <c r="K7" s="2" t="s">
        <v>66</v>
      </c>
      <c r="L7" s="2" t="s">
        <v>9</v>
      </c>
      <c r="M7" s="2" t="s">
        <v>67</v>
      </c>
      <c r="N7" s="2" t="s">
        <v>29</v>
      </c>
      <c r="O7" s="2" t="s">
        <v>87</v>
      </c>
      <c r="P7" s="2" t="s">
        <v>88</v>
      </c>
      <c r="Q7" s="2"/>
      <c r="R7" s="2"/>
      <c r="S7" s="2"/>
      <c r="T7" s="2"/>
      <c r="U7" s="2"/>
      <c r="V7" s="2"/>
      <c r="W7" s="2"/>
      <c r="X7" s="2"/>
      <c r="Y7" s="2"/>
      <c r="Z7" s="10" t="s">
        <v>89</v>
      </c>
    </row>
    <row r="8" spans="1:26" ht="51.95" customHeight="1">
      <c r="A8" s="14">
        <v>4</v>
      </c>
      <c r="B8" s="16" t="s">
        <v>90</v>
      </c>
      <c r="C8" s="2" t="s">
        <v>3</v>
      </c>
      <c r="D8" s="2" t="s">
        <v>91</v>
      </c>
      <c r="E8" s="2" t="s">
        <v>92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65</v>
      </c>
      <c r="K8" s="2" t="s">
        <v>66</v>
      </c>
      <c r="L8" s="2" t="s">
        <v>9</v>
      </c>
      <c r="M8" s="2" t="s">
        <v>67</v>
      </c>
      <c r="N8" s="2" t="s">
        <v>29</v>
      </c>
      <c r="O8" s="2" t="s">
        <v>97</v>
      </c>
      <c r="P8" s="2" t="s">
        <v>98</v>
      </c>
      <c r="Q8" s="2"/>
      <c r="R8" s="2"/>
      <c r="S8" s="2"/>
      <c r="T8" s="2"/>
      <c r="U8" s="2"/>
      <c r="V8" s="2"/>
      <c r="W8" s="2"/>
      <c r="X8" s="2"/>
      <c r="Y8" s="2"/>
      <c r="Z8" s="10" t="s">
        <v>99</v>
      </c>
    </row>
    <row r="9" spans="1:26" ht="51.95" customHeight="1">
      <c r="A9" s="14">
        <v>5</v>
      </c>
      <c r="B9" s="16" t="s">
        <v>100</v>
      </c>
      <c r="C9" s="2" t="s">
        <v>3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64</v>
      </c>
      <c r="J9" s="2" t="s">
        <v>65</v>
      </c>
      <c r="K9" s="2" t="s">
        <v>66</v>
      </c>
      <c r="L9" s="2" t="s">
        <v>9</v>
      </c>
      <c r="M9" s="2" t="s">
        <v>67</v>
      </c>
      <c r="N9" s="2" t="s">
        <v>29</v>
      </c>
      <c r="O9" s="2" t="s">
        <v>68</v>
      </c>
      <c r="P9" s="2" t="s">
        <v>106</v>
      </c>
      <c r="Q9" s="2"/>
      <c r="R9" s="2"/>
      <c r="S9" s="2"/>
      <c r="T9" s="2"/>
      <c r="U9" s="2"/>
      <c r="V9" s="2"/>
      <c r="W9" s="2"/>
      <c r="X9" s="2"/>
      <c r="Y9" s="2"/>
      <c r="Z9" s="10" t="s">
        <v>107</v>
      </c>
    </row>
    <row r="10" spans="1:26" ht="51.95" customHeight="1">
      <c r="A10" s="14">
        <v>6</v>
      </c>
      <c r="B10" s="16" t="s">
        <v>108</v>
      </c>
      <c r="C10" s="2" t="s">
        <v>3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113</v>
      </c>
      <c r="I10" s="2" t="s">
        <v>64</v>
      </c>
      <c r="J10" s="2" t="s">
        <v>65</v>
      </c>
      <c r="K10" s="2" t="s">
        <v>66</v>
      </c>
      <c r="L10" s="2" t="s">
        <v>9</v>
      </c>
      <c r="M10" s="2" t="s">
        <v>67</v>
      </c>
      <c r="N10" s="2" t="s">
        <v>29</v>
      </c>
      <c r="O10" s="2" t="s">
        <v>68</v>
      </c>
      <c r="P10" s="2" t="s">
        <v>114</v>
      </c>
      <c r="Q10" s="2"/>
      <c r="R10" s="2"/>
      <c r="S10" s="2"/>
      <c r="T10" s="2"/>
      <c r="U10" s="2"/>
      <c r="V10" s="2"/>
      <c r="W10" s="2"/>
      <c r="X10" s="2"/>
      <c r="Y10" s="2"/>
      <c r="Z10" s="10" t="s">
        <v>115</v>
      </c>
    </row>
    <row r="11" spans="1:26" ht="51.95" customHeight="1">
      <c r="A11" s="14">
        <v>7</v>
      </c>
      <c r="B11" s="16" t="s">
        <v>116</v>
      </c>
      <c r="C11" s="2" t="s">
        <v>3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121</v>
      </c>
      <c r="I11" s="2" t="s">
        <v>96</v>
      </c>
      <c r="J11" s="2" t="s">
        <v>65</v>
      </c>
      <c r="K11" s="2" t="s">
        <v>66</v>
      </c>
      <c r="L11" s="2" t="s">
        <v>9</v>
      </c>
      <c r="M11" s="2" t="s">
        <v>67</v>
      </c>
      <c r="N11" s="2" t="s">
        <v>29</v>
      </c>
      <c r="O11" s="2" t="s">
        <v>122</v>
      </c>
      <c r="P11" s="2" t="s">
        <v>123</v>
      </c>
      <c r="Q11" s="2"/>
      <c r="R11" s="2"/>
      <c r="S11" s="2"/>
      <c r="T11" s="2"/>
      <c r="U11" s="2"/>
      <c r="V11" s="2"/>
      <c r="W11" s="2"/>
      <c r="X11" s="2"/>
      <c r="Y11" s="2"/>
      <c r="Z11" s="10" t="s">
        <v>124</v>
      </c>
    </row>
    <row r="12" spans="1:26" ht="51.95" customHeight="1">
      <c r="A12" s="14">
        <v>8</v>
      </c>
      <c r="B12" s="16" t="s">
        <v>125</v>
      </c>
      <c r="C12" s="2" t="s">
        <v>3</v>
      </c>
      <c r="D12" s="2" t="s">
        <v>126</v>
      </c>
      <c r="E12" s="2" t="s">
        <v>82</v>
      </c>
      <c r="F12" s="2" t="s">
        <v>83</v>
      </c>
      <c r="G12" s="2" t="s">
        <v>127</v>
      </c>
      <c r="H12" s="2" t="s">
        <v>128</v>
      </c>
      <c r="I12" s="2" t="s">
        <v>129</v>
      </c>
      <c r="J12" s="2" t="s">
        <v>65</v>
      </c>
      <c r="K12" s="2" t="s">
        <v>66</v>
      </c>
      <c r="L12" s="2" t="s">
        <v>9</v>
      </c>
      <c r="M12" s="2" t="s">
        <v>67</v>
      </c>
      <c r="N12" s="2" t="s">
        <v>29</v>
      </c>
      <c r="O12" s="2" t="s">
        <v>97</v>
      </c>
      <c r="P12" s="2" t="s">
        <v>130</v>
      </c>
      <c r="Q12" s="2"/>
      <c r="R12" s="2"/>
      <c r="S12" s="2"/>
      <c r="T12" s="2"/>
      <c r="U12" s="2"/>
      <c r="V12" s="2"/>
      <c r="W12" s="2"/>
      <c r="X12" s="2"/>
      <c r="Y12" s="2"/>
      <c r="Z12" s="10" t="s">
        <v>131</v>
      </c>
    </row>
    <row r="13" spans="1:26" ht="51.95" customHeight="1">
      <c r="A13" s="14">
        <v>9</v>
      </c>
      <c r="B13" s="16" t="s">
        <v>132</v>
      </c>
      <c r="C13" s="2" t="s">
        <v>3</v>
      </c>
      <c r="D13" s="2" t="s">
        <v>133</v>
      </c>
      <c r="E13" s="2" t="s">
        <v>134</v>
      </c>
      <c r="F13" s="2" t="s">
        <v>135</v>
      </c>
      <c r="G13" s="2" t="s">
        <v>136</v>
      </c>
      <c r="H13" s="2" t="s">
        <v>137</v>
      </c>
      <c r="I13" s="2" t="s">
        <v>138</v>
      </c>
      <c r="J13" s="2" t="s">
        <v>65</v>
      </c>
      <c r="K13" s="2" t="s">
        <v>66</v>
      </c>
      <c r="L13" s="2" t="s">
        <v>9</v>
      </c>
      <c r="M13" s="2" t="s">
        <v>67</v>
      </c>
      <c r="N13" s="2" t="s">
        <v>29</v>
      </c>
      <c r="O13" s="2" t="s">
        <v>97</v>
      </c>
      <c r="P13" s="2" t="s">
        <v>139</v>
      </c>
      <c r="Q13" s="2"/>
      <c r="R13" s="2"/>
      <c r="S13" s="2"/>
      <c r="T13" s="2"/>
      <c r="U13" s="2"/>
      <c r="V13" s="2"/>
      <c r="W13" s="2"/>
      <c r="X13" s="2"/>
      <c r="Y13" s="2"/>
      <c r="Z13" s="10" t="s">
        <v>140</v>
      </c>
    </row>
    <row r="14" spans="1:26" ht="51.95" customHeight="1">
      <c r="A14" s="14">
        <v>10</v>
      </c>
      <c r="B14" s="16" t="s">
        <v>141</v>
      </c>
      <c r="C14" s="2" t="s">
        <v>3</v>
      </c>
      <c r="D14" s="2" t="s">
        <v>142</v>
      </c>
      <c r="E14" s="2" t="s">
        <v>143</v>
      </c>
      <c r="F14" s="2" t="s">
        <v>144</v>
      </c>
      <c r="G14" s="2" t="s">
        <v>145</v>
      </c>
      <c r="H14" s="2" t="s">
        <v>146</v>
      </c>
      <c r="I14" s="2" t="s">
        <v>138</v>
      </c>
      <c r="J14" s="2" t="s">
        <v>65</v>
      </c>
      <c r="K14" s="2" t="s">
        <v>66</v>
      </c>
      <c r="L14" s="2" t="s">
        <v>147</v>
      </c>
      <c r="M14" s="2" t="s">
        <v>67</v>
      </c>
      <c r="N14" s="2" t="s">
        <v>29</v>
      </c>
      <c r="O14" s="2" t="s">
        <v>97</v>
      </c>
      <c r="P14" s="2" t="s">
        <v>148</v>
      </c>
      <c r="Q14" s="2"/>
      <c r="R14" s="2"/>
      <c r="S14" s="2"/>
      <c r="T14" s="2"/>
      <c r="U14" s="2"/>
      <c r="V14" s="2"/>
      <c r="W14" s="2"/>
      <c r="X14" s="2"/>
      <c r="Y14" s="2"/>
      <c r="Z14" s="10" t="s">
        <v>149</v>
      </c>
    </row>
    <row r="15" spans="1:26" ht="51.95" customHeight="1">
      <c r="A15" s="14">
        <v>11</v>
      </c>
      <c r="B15" s="16" t="s">
        <v>20</v>
      </c>
      <c r="C15" s="2" t="s">
        <v>4</v>
      </c>
      <c r="D15" s="2" t="s">
        <v>150</v>
      </c>
      <c r="E15" s="2" t="s">
        <v>151</v>
      </c>
      <c r="F15" s="2" t="s">
        <v>152</v>
      </c>
      <c r="G15" s="2" t="s">
        <v>153</v>
      </c>
      <c r="H15" s="2" t="s">
        <v>154</v>
      </c>
      <c r="I15" s="2" t="s">
        <v>129</v>
      </c>
      <c r="J15" s="2" t="s">
        <v>65</v>
      </c>
      <c r="K15" s="2" t="s">
        <v>66</v>
      </c>
      <c r="L15" s="2" t="s">
        <v>147</v>
      </c>
      <c r="M15" s="2" t="s">
        <v>67</v>
      </c>
      <c r="N15" s="2" t="s">
        <v>29</v>
      </c>
      <c r="O15" s="2" t="s">
        <v>155</v>
      </c>
      <c r="P15" s="2" t="s">
        <v>156</v>
      </c>
      <c r="Q15" s="2"/>
      <c r="R15" s="2"/>
      <c r="S15" s="2"/>
      <c r="T15" s="2"/>
      <c r="U15" s="2"/>
      <c r="V15" s="2"/>
      <c r="W15" s="2"/>
      <c r="X15" s="2"/>
      <c r="Y15" s="2"/>
      <c r="Z15" s="10" t="s">
        <v>157</v>
      </c>
    </row>
    <row r="16" spans="1:26" ht="51.95" customHeight="1">
      <c r="A16" s="14">
        <v>12</v>
      </c>
      <c r="B16" s="16" t="s">
        <v>158</v>
      </c>
      <c r="C16" s="2" t="s">
        <v>4</v>
      </c>
      <c r="D16" s="2" t="s">
        <v>159</v>
      </c>
      <c r="E16" s="2" t="s">
        <v>160</v>
      </c>
      <c r="F16" s="2" t="s">
        <v>161</v>
      </c>
      <c r="G16" s="2" t="s">
        <v>162</v>
      </c>
      <c r="H16" s="2" t="s">
        <v>163</v>
      </c>
      <c r="I16" s="2" t="s">
        <v>164</v>
      </c>
      <c r="J16" s="2" t="s">
        <v>65</v>
      </c>
      <c r="K16" s="2" t="s">
        <v>66</v>
      </c>
      <c r="L16" s="2" t="s">
        <v>9</v>
      </c>
      <c r="M16" s="2" t="s">
        <v>67</v>
      </c>
      <c r="N16" s="2" t="s">
        <v>29</v>
      </c>
      <c r="O16" s="2" t="s">
        <v>165</v>
      </c>
      <c r="P16" s="2" t="s">
        <v>166</v>
      </c>
      <c r="Q16" s="2"/>
      <c r="R16" s="2"/>
      <c r="S16" s="2"/>
      <c r="T16" s="2"/>
      <c r="U16" s="2"/>
      <c r="V16" s="2"/>
      <c r="W16" s="2"/>
      <c r="X16" s="2"/>
      <c r="Y16" s="2"/>
      <c r="Z16" s="10" t="s">
        <v>167</v>
      </c>
    </row>
    <row r="17" spans="1:26" ht="51.95" customHeight="1">
      <c r="A17" s="14">
        <v>13</v>
      </c>
      <c r="B17" s="16" t="s">
        <v>168</v>
      </c>
      <c r="C17" s="2" t="s">
        <v>4</v>
      </c>
      <c r="D17" s="2" t="s">
        <v>169</v>
      </c>
      <c r="E17" s="2" t="s">
        <v>170</v>
      </c>
      <c r="F17" s="2" t="s">
        <v>171</v>
      </c>
      <c r="G17" s="2" t="s">
        <v>172</v>
      </c>
      <c r="H17" s="2" t="s">
        <v>173</v>
      </c>
      <c r="I17" s="2" t="s">
        <v>174</v>
      </c>
      <c r="J17" s="2" t="s">
        <v>65</v>
      </c>
      <c r="K17" s="2" t="s">
        <v>66</v>
      </c>
      <c r="L17" s="2" t="s">
        <v>9</v>
      </c>
      <c r="M17" s="2" t="s">
        <v>67</v>
      </c>
      <c r="N17" s="2" t="s">
        <v>29</v>
      </c>
      <c r="O17" s="2" t="s">
        <v>165</v>
      </c>
      <c r="P17" s="2" t="s">
        <v>175</v>
      </c>
      <c r="Q17" s="2"/>
      <c r="R17" s="2"/>
      <c r="S17" s="2"/>
      <c r="T17" s="2"/>
      <c r="U17" s="2"/>
      <c r="V17" s="2"/>
      <c r="W17" s="2"/>
      <c r="X17" s="2"/>
      <c r="Y17" s="2"/>
      <c r="Z17" s="10" t="s">
        <v>176</v>
      </c>
    </row>
    <row r="18" spans="1:26" ht="51.95" customHeight="1">
      <c r="A18" s="14">
        <v>14</v>
      </c>
      <c r="B18" s="16" t="s">
        <v>177</v>
      </c>
      <c r="C18" s="2" t="s">
        <v>4</v>
      </c>
      <c r="D18" s="2" t="s">
        <v>178</v>
      </c>
      <c r="E18" s="2" t="s">
        <v>179</v>
      </c>
      <c r="F18" s="2" t="s">
        <v>180</v>
      </c>
      <c r="G18" s="2" t="s">
        <v>181</v>
      </c>
      <c r="H18" s="2" t="s">
        <v>182</v>
      </c>
      <c r="I18" s="2" t="s">
        <v>183</v>
      </c>
      <c r="J18" s="2" t="s">
        <v>65</v>
      </c>
      <c r="K18" s="2" t="s">
        <v>66</v>
      </c>
      <c r="L18" s="2" t="s">
        <v>9</v>
      </c>
      <c r="M18" s="2" t="s">
        <v>67</v>
      </c>
      <c r="N18" s="2" t="s">
        <v>29</v>
      </c>
      <c r="O18" s="2" t="s">
        <v>165</v>
      </c>
      <c r="P18" s="2" t="s">
        <v>184</v>
      </c>
      <c r="Q18" s="2"/>
      <c r="R18" s="2"/>
      <c r="S18" s="2"/>
      <c r="T18" s="2"/>
      <c r="U18" s="2"/>
      <c r="V18" s="2"/>
      <c r="W18" s="2"/>
      <c r="X18" s="2"/>
      <c r="Y18" s="2"/>
      <c r="Z18" s="10" t="s">
        <v>185</v>
      </c>
    </row>
    <row r="19" spans="1:26" ht="51.95" customHeight="1">
      <c r="A19" s="14">
        <v>15</v>
      </c>
      <c r="B19" s="16" t="s">
        <v>18</v>
      </c>
      <c r="C19" s="2" t="s">
        <v>4</v>
      </c>
      <c r="D19" s="2" t="s">
        <v>186</v>
      </c>
      <c r="E19" s="2" t="s">
        <v>187</v>
      </c>
      <c r="F19" s="2" t="s">
        <v>188</v>
      </c>
      <c r="G19" s="2" t="s">
        <v>189</v>
      </c>
      <c r="H19" s="2" t="s">
        <v>190</v>
      </c>
      <c r="I19" s="2" t="s">
        <v>190</v>
      </c>
      <c r="J19" s="2" t="s">
        <v>65</v>
      </c>
      <c r="K19" s="2" t="s">
        <v>66</v>
      </c>
      <c r="L19" s="2" t="s">
        <v>191</v>
      </c>
      <c r="M19" s="2" t="s">
        <v>67</v>
      </c>
      <c r="N19" s="2" t="s">
        <v>29</v>
      </c>
      <c r="O19" s="2" t="s">
        <v>192</v>
      </c>
      <c r="P19" s="2" t="s">
        <v>193</v>
      </c>
      <c r="Q19" s="2"/>
      <c r="R19" s="2"/>
      <c r="S19" s="2"/>
      <c r="T19" s="2"/>
      <c r="U19" s="2"/>
      <c r="V19" s="2"/>
      <c r="W19" s="2"/>
      <c r="X19" s="2"/>
      <c r="Y19" s="2"/>
      <c r="Z19" s="10" t="s">
        <v>194</v>
      </c>
    </row>
    <row r="20" spans="1:26" ht="51.95" customHeight="1">
      <c r="A20" s="14">
        <v>16</v>
      </c>
      <c r="B20" s="16" t="s">
        <v>195</v>
      </c>
      <c r="C20" s="2" t="s">
        <v>4</v>
      </c>
      <c r="D20" s="2" t="s">
        <v>196</v>
      </c>
      <c r="E20" s="2" t="s">
        <v>197</v>
      </c>
      <c r="F20" s="2" t="s">
        <v>198</v>
      </c>
      <c r="G20" s="2" t="s">
        <v>199</v>
      </c>
      <c r="H20" s="2" t="s">
        <v>200</v>
      </c>
      <c r="I20" s="2" t="s">
        <v>76</v>
      </c>
      <c r="J20" s="2" t="s">
        <v>65</v>
      </c>
      <c r="K20" s="2" t="s">
        <v>66</v>
      </c>
      <c r="L20" s="2" t="s">
        <v>147</v>
      </c>
      <c r="M20" s="2" t="s">
        <v>67</v>
      </c>
      <c r="N20" s="2" t="s">
        <v>29</v>
      </c>
      <c r="O20" s="2" t="s">
        <v>201</v>
      </c>
      <c r="P20" s="2" t="s">
        <v>202</v>
      </c>
      <c r="Q20" s="2"/>
      <c r="R20" s="2"/>
      <c r="S20" s="2"/>
      <c r="T20" s="2"/>
      <c r="U20" s="2"/>
      <c r="V20" s="2"/>
      <c r="W20" s="2"/>
      <c r="X20" s="2"/>
      <c r="Y20" s="2"/>
      <c r="Z20" s="10" t="s">
        <v>203</v>
      </c>
    </row>
    <row r="21" spans="1:26" ht="51.95" customHeight="1">
      <c r="A21" s="14">
        <v>17</v>
      </c>
      <c r="B21" s="16" t="s">
        <v>204</v>
      </c>
      <c r="C21" s="2" t="s">
        <v>4</v>
      </c>
      <c r="D21" s="2" t="s">
        <v>205</v>
      </c>
      <c r="E21" s="2" t="s">
        <v>206</v>
      </c>
      <c r="F21" s="2" t="s">
        <v>207</v>
      </c>
      <c r="G21" s="2" t="s">
        <v>208</v>
      </c>
      <c r="H21" s="2" t="s">
        <v>209</v>
      </c>
      <c r="I21" s="2" t="s">
        <v>183</v>
      </c>
      <c r="J21" s="2" t="s">
        <v>65</v>
      </c>
      <c r="K21" s="2" t="s">
        <v>66</v>
      </c>
      <c r="L21" s="2" t="s">
        <v>147</v>
      </c>
      <c r="M21" s="2" t="s">
        <v>67</v>
      </c>
      <c r="N21" s="2" t="s">
        <v>29</v>
      </c>
      <c r="O21" s="2" t="s">
        <v>210</v>
      </c>
      <c r="P21" s="2" t="s">
        <v>211</v>
      </c>
      <c r="Q21" s="2"/>
      <c r="R21" s="2"/>
      <c r="S21" s="2"/>
      <c r="T21" s="2"/>
      <c r="U21" s="2"/>
      <c r="V21" s="2"/>
      <c r="W21" s="2"/>
      <c r="X21" s="2"/>
      <c r="Y21" s="2"/>
      <c r="Z21" s="10" t="s">
        <v>212</v>
      </c>
    </row>
    <row r="22" spans="1:26" ht="51.95" customHeight="1">
      <c r="A22" s="14">
        <v>18</v>
      </c>
      <c r="B22" s="16" t="s">
        <v>213</v>
      </c>
      <c r="C22" s="2" t="s">
        <v>5</v>
      </c>
      <c r="D22" s="2" t="s">
        <v>5</v>
      </c>
      <c r="E22" s="2" t="s">
        <v>214</v>
      </c>
      <c r="F22" s="2" t="s">
        <v>215</v>
      </c>
      <c r="G22" s="2"/>
      <c r="H22" s="2"/>
      <c r="I22" s="2" t="s">
        <v>86</v>
      </c>
      <c r="J22" s="2" t="s">
        <v>65</v>
      </c>
      <c r="K22" s="2" t="s">
        <v>66</v>
      </c>
      <c r="L22" s="2" t="s">
        <v>216</v>
      </c>
      <c r="M22" s="2" t="s">
        <v>217</v>
      </c>
      <c r="N22" s="2" t="s">
        <v>29</v>
      </c>
      <c r="O22" s="2"/>
      <c r="P22" s="2" t="s">
        <v>218</v>
      </c>
      <c r="Q22" s="2"/>
      <c r="R22" s="2"/>
      <c r="S22" s="2"/>
      <c r="T22" s="2"/>
      <c r="U22" s="2"/>
      <c r="V22" s="2"/>
      <c r="W22" s="2"/>
      <c r="X22" s="2"/>
      <c r="Y22" s="2"/>
      <c r="Z22" s="10" t="s">
        <v>219</v>
      </c>
    </row>
    <row r="23" spans="1:26" ht="51.95" customHeight="1">
      <c r="A23" s="14">
        <v>19</v>
      </c>
      <c r="B23" s="16" t="s">
        <v>220</v>
      </c>
      <c r="C23" s="2" t="s">
        <v>6</v>
      </c>
      <c r="D23" s="2" t="s">
        <v>6</v>
      </c>
      <c r="E23" s="2" t="s">
        <v>221</v>
      </c>
      <c r="F23" s="2" t="s">
        <v>222</v>
      </c>
      <c r="G23" s="2" t="s">
        <v>223</v>
      </c>
      <c r="H23" s="2" t="s">
        <v>163</v>
      </c>
      <c r="I23" s="2" t="s">
        <v>164</v>
      </c>
      <c r="J23" s="2" t="s">
        <v>65</v>
      </c>
      <c r="K23" s="2" t="s">
        <v>66</v>
      </c>
      <c r="L23" s="2" t="s">
        <v>9</v>
      </c>
      <c r="M23" s="2" t="s">
        <v>217</v>
      </c>
      <c r="N23" s="2" t="s">
        <v>29</v>
      </c>
      <c r="O23" s="2" t="s">
        <v>224</v>
      </c>
      <c r="P23" s="2" t="s">
        <v>225</v>
      </c>
      <c r="Q23" s="2"/>
      <c r="R23" s="2"/>
      <c r="S23" s="2"/>
      <c r="T23" s="2"/>
      <c r="U23" s="2"/>
      <c r="V23" s="2"/>
      <c r="W23" s="2"/>
      <c r="X23" s="2"/>
      <c r="Y23" s="2"/>
      <c r="Z23" s="10" t="s">
        <v>226</v>
      </c>
    </row>
    <row r="24" spans="1:26" ht="51.95" customHeight="1">
      <c r="A24" s="14">
        <v>20</v>
      </c>
      <c r="B24" s="16" t="s">
        <v>227</v>
      </c>
      <c r="C24" s="2" t="s">
        <v>6</v>
      </c>
      <c r="D24" s="2" t="s">
        <v>6</v>
      </c>
      <c r="E24" s="2" t="s">
        <v>228</v>
      </c>
      <c r="F24" s="2" t="s">
        <v>229</v>
      </c>
      <c r="G24" s="2" t="s">
        <v>230</v>
      </c>
      <c r="H24" s="2" t="s">
        <v>231</v>
      </c>
      <c r="I24" s="2" t="s">
        <v>164</v>
      </c>
      <c r="J24" s="2" t="s">
        <v>65</v>
      </c>
      <c r="K24" s="2" t="s">
        <v>66</v>
      </c>
      <c r="L24" s="2" t="s">
        <v>147</v>
      </c>
      <c r="M24" s="2" t="s">
        <v>217</v>
      </c>
      <c r="N24" s="2" t="s">
        <v>29</v>
      </c>
      <c r="O24" s="2" t="s">
        <v>232</v>
      </c>
      <c r="P24" s="2" t="s">
        <v>233</v>
      </c>
      <c r="Q24" s="2"/>
      <c r="R24" s="2"/>
      <c r="S24" s="2"/>
      <c r="T24" s="2"/>
      <c r="U24" s="2"/>
      <c r="V24" s="2"/>
      <c r="W24" s="2"/>
      <c r="X24" s="2"/>
      <c r="Y24" s="2"/>
      <c r="Z24" s="10" t="s">
        <v>234</v>
      </c>
    </row>
    <row r="25" spans="1:26" ht="51.95" customHeight="1">
      <c r="A25" s="14">
        <v>21</v>
      </c>
      <c r="B25" s="16" t="s">
        <v>235</v>
      </c>
      <c r="C25" s="2" t="s">
        <v>6</v>
      </c>
      <c r="D25" s="2" t="s">
        <v>6</v>
      </c>
      <c r="E25" s="2" t="s">
        <v>236</v>
      </c>
      <c r="F25" s="2" t="s">
        <v>237</v>
      </c>
      <c r="G25" s="2" t="s">
        <v>238</v>
      </c>
      <c r="H25" s="2" t="s">
        <v>239</v>
      </c>
      <c r="I25" s="2" t="s">
        <v>96</v>
      </c>
      <c r="J25" s="2" t="s">
        <v>65</v>
      </c>
      <c r="K25" s="2" t="s">
        <v>66</v>
      </c>
      <c r="L25" s="2" t="s">
        <v>147</v>
      </c>
      <c r="M25" s="2" t="s">
        <v>217</v>
      </c>
      <c r="N25" s="2" t="s">
        <v>29</v>
      </c>
      <c r="O25" s="2" t="s">
        <v>240</v>
      </c>
      <c r="P25" s="2" t="s">
        <v>241</v>
      </c>
      <c r="Q25" s="2"/>
      <c r="R25" s="2"/>
      <c r="S25" s="2"/>
      <c r="T25" s="2"/>
      <c r="U25" s="2"/>
      <c r="V25" s="2"/>
      <c r="W25" s="2"/>
      <c r="X25" s="2"/>
      <c r="Y25" s="2"/>
      <c r="Z25" s="10" t="s">
        <v>242</v>
      </c>
    </row>
    <row r="26" spans="1:26" ht="51.95" customHeight="1">
      <c r="A26" s="14">
        <v>22</v>
      </c>
      <c r="B26" s="16" t="s">
        <v>243</v>
      </c>
      <c r="C26" s="2" t="s">
        <v>6</v>
      </c>
      <c r="D26" s="2" t="s">
        <v>6</v>
      </c>
      <c r="E26" s="2" t="s">
        <v>244</v>
      </c>
      <c r="F26" s="2" t="s">
        <v>245</v>
      </c>
      <c r="G26" s="2" t="s">
        <v>246</v>
      </c>
      <c r="H26" s="2" t="s">
        <v>247</v>
      </c>
      <c r="I26" s="2" t="s">
        <v>174</v>
      </c>
      <c r="J26" s="2" t="s">
        <v>65</v>
      </c>
      <c r="K26" s="2" t="s">
        <v>66</v>
      </c>
      <c r="L26" s="2" t="s">
        <v>147</v>
      </c>
      <c r="M26" s="2" t="s">
        <v>217</v>
      </c>
      <c r="N26" s="2" t="s">
        <v>29</v>
      </c>
      <c r="O26" s="2" t="s">
        <v>248</v>
      </c>
      <c r="P26" s="2" t="s">
        <v>249</v>
      </c>
      <c r="Q26" s="2"/>
      <c r="R26" s="2"/>
      <c r="S26" s="2"/>
      <c r="T26" s="2"/>
      <c r="U26" s="2"/>
      <c r="V26" s="2"/>
      <c r="W26" s="2"/>
      <c r="X26" s="2"/>
      <c r="Y26" s="2"/>
      <c r="Z26" s="10" t="s">
        <v>250</v>
      </c>
    </row>
    <row r="27" spans="1:26" ht="51.95" customHeight="1">
      <c r="A27" s="14">
        <v>23</v>
      </c>
      <c r="B27" s="16" t="s">
        <v>251</v>
      </c>
      <c r="C27" s="2" t="s">
        <v>6</v>
      </c>
      <c r="D27" s="2" t="s">
        <v>6</v>
      </c>
      <c r="E27" s="2" t="s">
        <v>252</v>
      </c>
      <c r="F27" s="2" t="s">
        <v>253</v>
      </c>
      <c r="G27" s="2" t="s">
        <v>254</v>
      </c>
      <c r="H27" s="2" t="s">
        <v>255</v>
      </c>
      <c r="I27" s="2" t="s">
        <v>138</v>
      </c>
      <c r="J27" s="2" t="s">
        <v>65</v>
      </c>
      <c r="K27" s="2" t="s">
        <v>66</v>
      </c>
      <c r="L27" s="2" t="s">
        <v>147</v>
      </c>
      <c r="M27" s="2" t="s">
        <v>217</v>
      </c>
      <c r="N27" s="2" t="s">
        <v>29</v>
      </c>
      <c r="O27" s="2" t="s">
        <v>248</v>
      </c>
      <c r="P27" s="2" t="s">
        <v>256</v>
      </c>
      <c r="Q27" s="2"/>
      <c r="R27" s="2"/>
      <c r="S27" s="2"/>
      <c r="T27" s="2"/>
      <c r="U27" s="2"/>
      <c r="V27" s="2"/>
      <c r="W27" s="2"/>
      <c r="X27" s="2"/>
      <c r="Y27" s="2"/>
      <c r="Z27" s="10" t="s">
        <v>257</v>
      </c>
    </row>
    <row r="28" spans="1:26" ht="51.95" customHeight="1">
      <c r="A28" s="14">
        <v>24</v>
      </c>
      <c r="B28" s="16" t="s">
        <v>258</v>
      </c>
      <c r="C28" s="2" t="s">
        <v>6</v>
      </c>
      <c r="D28" s="2" t="s">
        <v>6</v>
      </c>
      <c r="E28" s="2" t="s">
        <v>259</v>
      </c>
      <c r="F28" s="2" t="s">
        <v>260</v>
      </c>
      <c r="G28" s="2" t="s">
        <v>261</v>
      </c>
      <c r="H28" s="2" t="s">
        <v>262</v>
      </c>
      <c r="I28" s="2" t="s">
        <v>164</v>
      </c>
      <c r="J28" s="2" t="s">
        <v>65</v>
      </c>
      <c r="K28" s="2" t="s">
        <v>66</v>
      </c>
      <c r="L28" s="2" t="s">
        <v>147</v>
      </c>
      <c r="M28" s="2" t="s">
        <v>217</v>
      </c>
      <c r="N28" s="2" t="s">
        <v>29</v>
      </c>
      <c r="O28" s="2" t="s">
        <v>263</v>
      </c>
      <c r="P28" s="2" t="s">
        <v>264</v>
      </c>
      <c r="Q28" s="2"/>
      <c r="R28" s="2"/>
      <c r="S28" s="2"/>
      <c r="T28" s="2"/>
      <c r="U28" s="2"/>
      <c r="V28" s="2"/>
      <c r="W28" s="2"/>
      <c r="X28" s="2"/>
      <c r="Y28" s="2"/>
      <c r="Z28" s="10" t="s">
        <v>265</v>
      </c>
    </row>
    <row r="29" spans="1:26" ht="51.95" customHeight="1">
      <c r="A29" s="14">
        <v>25</v>
      </c>
      <c r="B29" s="16" t="s">
        <v>266</v>
      </c>
      <c r="C29" s="2" t="s">
        <v>6</v>
      </c>
      <c r="D29" s="2" t="s">
        <v>6</v>
      </c>
      <c r="E29" s="2" t="s">
        <v>267</v>
      </c>
      <c r="F29" s="2" t="s">
        <v>268</v>
      </c>
      <c r="G29" s="2" t="s">
        <v>269</v>
      </c>
      <c r="H29" s="2" t="s">
        <v>270</v>
      </c>
      <c r="I29" s="2" t="s">
        <v>183</v>
      </c>
      <c r="J29" s="2" t="s">
        <v>65</v>
      </c>
      <c r="K29" s="2" t="s">
        <v>66</v>
      </c>
      <c r="L29" s="2" t="s">
        <v>147</v>
      </c>
      <c r="M29" s="2" t="s">
        <v>217</v>
      </c>
      <c r="N29" s="2" t="s">
        <v>29</v>
      </c>
      <c r="O29" s="2" t="s">
        <v>271</v>
      </c>
      <c r="P29" s="2" t="s">
        <v>272</v>
      </c>
      <c r="Q29" s="2"/>
      <c r="R29" s="2"/>
      <c r="S29" s="2"/>
      <c r="T29" s="2"/>
      <c r="U29" s="2"/>
      <c r="V29" s="2"/>
      <c r="W29" s="2"/>
      <c r="X29" s="2"/>
      <c r="Y29" s="2"/>
      <c r="Z29" s="10" t="s">
        <v>273</v>
      </c>
    </row>
    <row r="30" spans="1:26" ht="51.95" customHeight="1">
      <c r="A30" s="14">
        <v>26</v>
      </c>
      <c r="B30" s="16" t="s">
        <v>274</v>
      </c>
      <c r="C30" s="2" t="s">
        <v>6</v>
      </c>
      <c r="D30" s="2" t="s">
        <v>6</v>
      </c>
      <c r="E30" s="2" t="s">
        <v>275</v>
      </c>
      <c r="F30" s="2" t="s">
        <v>276</v>
      </c>
      <c r="G30" s="2" t="s">
        <v>277</v>
      </c>
      <c r="H30" s="2" t="s">
        <v>278</v>
      </c>
      <c r="I30" s="2" t="s">
        <v>64</v>
      </c>
      <c r="J30" s="2" t="s">
        <v>65</v>
      </c>
      <c r="K30" s="2" t="s">
        <v>66</v>
      </c>
      <c r="L30" s="2" t="s">
        <v>9</v>
      </c>
      <c r="M30" s="2" t="s">
        <v>217</v>
      </c>
      <c r="N30" s="2" t="s">
        <v>29</v>
      </c>
      <c r="O30" s="2" t="s">
        <v>279</v>
      </c>
      <c r="P30" s="2" t="s">
        <v>280</v>
      </c>
      <c r="Q30" s="2"/>
      <c r="R30" s="2"/>
      <c r="S30" s="2"/>
      <c r="T30" s="2"/>
      <c r="U30" s="2"/>
      <c r="V30" s="2"/>
      <c r="W30" s="2"/>
      <c r="X30" s="2"/>
      <c r="Y30" s="2"/>
      <c r="Z30" s="10" t="s">
        <v>281</v>
      </c>
    </row>
    <row r="31" spans="1:26" ht="51.95" customHeight="1">
      <c r="A31" s="15">
        <v>27</v>
      </c>
      <c r="B31" s="17" t="s">
        <v>282</v>
      </c>
      <c r="C31" s="11" t="s">
        <v>6</v>
      </c>
      <c r="D31" s="11" t="s">
        <v>6</v>
      </c>
      <c r="E31" s="11" t="s">
        <v>283</v>
      </c>
      <c r="F31" s="11" t="s">
        <v>284</v>
      </c>
      <c r="G31" s="11" t="s">
        <v>285</v>
      </c>
      <c r="H31" s="11" t="s">
        <v>286</v>
      </c>
      <c r="I31" s="11" t="s">
        <v>138</v>
      </c>
      <c r="J31" s="11" t="s">
        <v>65</v>
      </c>
      <c r="K31" s="11" t="s">
        <v>66</v>
      </c>
      <c r="L31" s="11" t="s">
        <v>9</v>
      </c>
      <c r="M31" s="11" t="s">
        <v>217</v>
      </c>
      <c r="N31" s="11" t="s">
        <v>29</v>
      </c>
      <c r="O31" s="11" t="s">
        <v>287</v>
      </c>
      <c r="P31" s="11" t="s">
        <v>288</v>
      </c>
      <c r="Q31" s="11"/>
      <c r="R31" s="11"/>
      <c r="S31" s="11"/>
      <c r="T31" s="11"/>
      <c r="U31" s="11"/>
      <c r="V31" s="11"/>
      <c r="W31" s="11"/>
      <c r="X31" s="11"/>
      <c r="Y31" s="11"/>
      <c r="Z31" s="12" t="s">
        <v>289</v>
      </c>
    </row>
  </sheetData>
  <mergeCells count="2">
    <mergeCell ref="A1:Z1"/>
    <mergeCell ref="A2:Z2"/>
  </mergeCells>
  <conditionalFormatting sqref="H5:H31">
    <cfRule type="expression" dxfId="9" priority="3">
      <formula>H5="Tidak Beroperasi"</formula>
    </cfRule>
  </conditionalFormatting>
  <conditionalFormatting sqref="I5:I31">
    <cfRule type="expression" dxfId="8" priority="1">
      <formula>I5="Prioritas verifikasi lokal"</formula>
    </cfRule>
    <cfRule type="expression" dxfId="7" priority="2">
      <formula>I5="Terverifikasi lokal"</formula>
    </cfRule>
  </conditionalFormatting>
  <conditionalFormatting sqref="L5:L31">
    <cfRule type="expression" dxfId="6" priority="4">
      <formula>L5="Tinggi"</formula>
    </cfRule>
    <cfRule type="expression" dxfId="5" priority="5">
      <formula>L5="Sedang"</formula>
    </cfRule>
    <cfRule type="expression" dxfId="4" priority="6">
      <formula>L5="Konflik"</formula>
    </cfRule>
    <cfRule type="expression" dxfId="3" priority="7">
      <formula>L5="Belum"</formula>
    </cfRule>
  </conditionalFormatting>
  <dataValidations count="3">
    <dataValidation type="list" sqref="H5:H31" xr:uid="{00000000-0002-0000-0100-000000000000}">
      <formula1>"Beroperasi,Tidak Beroperasi,Sementara Tutup,Belum Diverifikasi"</formula1>
    </dataValidation>
    <dataValidation type="list" sqref="I5:I31" xr:uid="{00000000-0002-0000-0100-000001000000}">
      <formula1>"Terverifikasi pusat; cek lokal,Prioritas verifikasi lokal,Terverifikasi lokal,Perlu rekonsiliasi pusat"</formula1>
    </dataValidation>
    <dataValidation type="list" sqref="P5:Q31" xr:uid="{00000000-0002-0000-0100-000002000000}">
      <formula1>"Ya,Tidak,Belum Diverifikasi"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topLeftCell="A4" workbookViewId="0">
      <selection sqref="A1:F1"/>
    </sheetView>
  </sheetViews>
  <sheetFormatPr defaultRowHeight="14.25"/>
  <cols>
    <col min="1" max="1" width="6" customWidth="1"/>
    <col min="2" max="2" width="38" customWidth="1"/>
    <col min="3" max="3" width="20" customWidth="1"/>
    <col min="4" max="4" width="42" customWidth="1"/>
    <col min="5" max="5" width="62" customWidth="1"/>
    <col min="6" max="6" width="46" customWidth="1"/>
  </cols>
  <sheetData>
    <row r="1" spans="1:6" ht="19.5">
      <c r="A1" s="30" t="s">
        <v>292</v>
      </c>
      <c r="B1" s="30"/>
      <c r="C1" s="30"/>
      <c r="D1" s="30"/>
      <c r="E1" s="30"/>
      <c r="F1" s="30"/>
    </row>
    <row r="3" spans="1:6">
      <c r="A3" s="4" t="s">
        <v>32</v>
      </c>
      <c r="B3" s="4" t="s">
        <v>290</v>
      </c>
      <c r="C3" s="4" t="s">
        <v>293</v>
      </c>
      <c r="D3" s="4" t="s">
        <v>294</v>
      </c>
      <c r="E3" s="4" t="s">
        <v>295</v>
      </c>
      <c r="F3" s="4" t="s">
        <v>57</v>
      </c>
    </row>
    <row r="4" spans="1:6" ht="48" customHeight="1">
      <c r="A4" s="2">
        <v>1</v>
      </c>
      <c r="B4" s="2" t="s">
        <v>296</v>
      </c>
      <c r="C4" s="2" t="s">
        <v>297</v>
      </c>
      <c r="D4" s="2" t="s">
        <v>298</v>
      </c>
      <c r="E4" s="2" t="s">
        <v>299</v>
      </c>
      <c r="F4" s="2" t="s">
        <v>300</v>
      </c>
    </row>
    <row r="5" spans="1:6" ht="48" customHeight="1">
      <c r="A5" s="2">
        <v>2</v>
      </c>
      <c r="B5" s="2" t="s">
        <v>301</v>
      </c>
      <c r="C5" s="2" t="s">
        <v>217</v>
      </c>
      <c r="D5" s="2" t="s">
        <v>302</v>
      </c>
      <c r="E5" s="2" t="s">
        <v>29</v>
      </c>
      <c r="F5" s="2" t="s">
        <v>303</v>
      </c>
    </row>
    <row r="6" spans="1:6" ht="48" customHeight="1">
      <c r="A6" s="2">
        <v>3</v>
      </c>
      <c r="B6" s="2" t="s">
        <v>304</v>
      </c>
      <c r="C6" s="2" t="s">
        <v>305</v>
      </c>
      <c r="D6" s="2" t="s">
        <v>306</v>
      </c>
      <c r="E6" s="2" t="s">
        <v>165</v>
      </c>
      <c r="F6" s="2" t="s">
        <v>307</v>
      </c>
    </row>
    <row r="7" spans="1:6" ht="48" customHeight="1">
      <c r="A7" s="2">
        <v>4</v>
      </c>
      <c r="B7" s="2" t="s">
        <v>308</v>
      </c>
      <c r="C7" s="2" t="s">
        <v>309</v>
      </c>
      <c r="D7" s="2" t="s">
        <v>310</v>
      </c>
      <c r="E7" s="2" t="s">
        <v>311</v>
      </c>
      <c r="F7" s="2" t="s">
        <v>312</v>
      </c>
    </row>
    <row r="8" spans="1:6" ht="48" customHeight="1">
      <c r="A8" s="2">
        <v>5</v>
      </c>
      <c r="B8" s="2" t="s">
        <v>313</v>
      </c>
      <c r="C8" s="2" t="s">
        <v>314</v>
      </c>
      <c r="D8" s="2" t="s">
        <v>315</v>
      </c>
      <c r="E8" s="2" t="s">
        <v>87</v>
      </c>
      <c r="F8" s="2" t="s">
        <v>316</v>
      </c>
    </row>
    <row r="9" spans="1:6" ht="48" customHeight="1">
      <c r="A9" s="2">
        <v>6</v>
      </c>
      <c r="B9" s="2" t="s">
        <v>317</v>
      </c>
      <c r="C9" s="2" t="s">
        <v>318</v>
      </c>
      <c r="D9" s="2" t="s">
        <v>319</v>
      </c>
      <c r="E9" s="2" t="s">
        <v>77</v>
      </c>
      <c r="F9" s="2" t="s">
        <v>320</v>
      </c>
    </row>
    <row r="10" spans="1:6" ht="48" customHeight="1">
      <c r="A10" s="2">
        <v>7</v>
      </c>
      <c r="B10" s="2" t="s">
        <v>321</v>
      </c>
      <c r="C10" s="2" t="s">
        <v>322</v>
      </c>
      <c r="D10" s="2" t="s">
        <v>323</v>
      </c>
      <c r="E10" s="2" t="s">
        <v>192</v>
      </c>
      <c r="F10" s="2" t="s">
        <v>324</v>
      </c>
    </row>
    <row r="11" spans="1:6" ht="48" customHeight="1">
      <c r="A11" s="2">
        <v>8</v>
      </c>
      <c r="B11" s="2" t="s">
        <v>325</v>
      </c>
      <c r="C11" s="2" t="s">
        <v>326</v>
      </c>
      <c r="D11" s="2" t="s">
        <v>327</v>
      </c>
      <c r="E11" s="2" t="s">
        <v>291</v>
      </c>
      <c r="F11" s="2" t="s">
        <v>328</v>
      </c>
    </row>
    <row r="12" spans="1:6" ht="48" customHeight="1">
      <c r="A12" s="2">
        <v>9</v>
      </c>
      <c r="B12" s="2" t="s">
        <v>329</v>
      </c>
      <c r="C12" s="2" t="s">
        <v>330</v>
      </c>
      <c r="D12" s="2" t="s">
        <v>331</v>
      </c>
      <c r="E12" s="2" t="s">
        <v>201</v>
      </c>
      <c r="F12" s="2" t="s">
        <v>332</v>
      </c>
    </row>
    <row r="13" spans="1:6" ht="48" customHeight="1">
      <c r="A13" s="2">
        <v>10</v>
      </c>
      <c r="B13" s="2" t="s">
        <v>333</v>
      </c>
      <c r="C13" s="2" t="s">
        <v>334</v>
      </c>
      <c r="D13" s="2" t="s">
        <v>335</v>
      </c>
      <c r="E13" s="2" t="s">
        <v>155</v>
      </c>
      <c r="F13" s="2" t="s">
        <v>332</v>
      </c>
    </row>
    <row r="14" spans="1:6" ht="48" customHeight="1">
      <c r="A14" s="2">
        <v>11</v>
      </c>
      <c r="B14" s="2" t="s">
        <v>336</v>
      </c>
      <c r="C14" s="2" t="s">
        <v>334</v>
      </c>
      <c r="D14" s="2" t="s">
        <v>337</v>
      </c>
      <c r="E14" s="2" t="s">
        <v>210</v>
      </c>
      <c r="F14" s="2" t="s">
        <v>332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sqref="A1:J1"/>
    </sheetView>
  </sheetViews>
  <sheetFormatPr defaultRowHeight="14.25"/>
  <cols>
    <col min="1" max="1" width="12" customWidth="1"/>
    <col min="2" max="2" width="25" customWidth="1"/>
    <col min="3" max="3" width="30" customWidth="1"/>
    <col min="4" max="4" width="38" customWidth="1"/>
    <col min="5" max="5" width="16" customWidth="1"/>
    <col min="6" max="6" width="15" customWidth="1"/>
    <col min="7" max="7" width="32" customWidth="1"/>
    <col min="8" max="8" width="14" customWidth="1"/>
    <col min="9" max="9" width="38" customWidth="1"/>
    <col min="10" max="10" width="42" customWidth="1"/>
  </cols>
  <sheetData>
    <row r="1" spans="1:10" ht="26.1" customHeight="1">
      <c r="A1" s="38" t="s">
        <v>339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340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ht="15">
      <c r="A4" s="29" t="s">
        <v>341</v>
      </c>
      <c r="B4" s="29" t="s">
        <v>342</v>
      </c>
      <c r="C4" s="29" t="s">
        <v>343</v>
      </c>
      <c r="D4" s="29" t="s">
        <v>344</v>
      </c>
      <c r="E4" s="29" t="s">
        <v>338</v>
      </c>
      <c r="F4" s="29" t="s">
        <v>345</v>
      </c>
      <c r="G4" s="29" t="s">
        <v>346</v>
      </c>
      <c r="H4" s="29" t="s">
        <v>347</v>
      </c>
      <c r="I4" s="29" t="s">
        <v>47</v>
      </c>
      <c r="J4" s="29" t="s">
        <v>57</v>
      </c>
    </row>
    <row r="5" spans="1:10" ht="43.5">
      <c r="A5" s="1" t="s">
        <v>220</v>
      </c>
      <c r="B5" s="1" t="s">
        <v>221</v>
      </c>
      <c r="C5" s="1" t="s">
        <v>348</v>
      </c>
      <c r="D5" s="1" t="s">
        <v>349</v>
      </c>
      <c r="E5" s="1" t="s">
        <v>164</v>
      </c>
      <c r="F5" s="1" t="s">
        <v>350</v>
      </c>
      <c r="G5" s="1" t="s">
        <v>351</v>
      </c>
      <c r="H5" s="1" t="s">
        <v>352</v>
      </c>
      <c r="I5" s="1" t="s">
        <v>225</v>
      </c>
      <c r="J5" s="1" t="s">
        <v>353</v>
      </c>
    </row>
    <row r="6" spans="1:10" ht="43.5">
      <c r="A6" s="1" t="s">
        <v>227</v>
      </c>
      <c r="B6" s="1" t="s">
        <v>228</v>
      </c>
      <c r="C6" s="1" t="s">
        <v>354</v>
      </c>
      <c r="D6" s="1" t="s">
        <v>349</v>
      </c>
      <c r="E6" s="1" t="s">
        <v>164</v>
      </c>
      <c r="F6" s="1" t="s">
        <v>355</v>
      </c>
      <c r="G6" s="1" t="s">
        <v>6</v>
      </c>
      <c r="H6" s="1" t="s">
        <v>356</v>
      </c>
      <c r="I6" s="1" t="s">
        <v>233</v>
      </c>
      <c r="J6" s="1" t="s">
        <v>357</v>
      </c>
    </row>
    <row r="7" spans="1:10" ht="43.5">
      <c r="A7" s="1" t="s">
        <v>235</v>
      </c>
      <c r="B7" s="1" t="s">
        <v>236</v>
      </c>
      <c r="C7" s="1" t="s">
        <v>358</v>
      </c>
      <c r="D7" s="1" t="s">
        <v>359</v>
      </c>
      <c r="E7" s="1" t="s">
        <v>96</v>
      </c>
      <c r="F7" s="1" t="s">
        <v>355</v>
      </c>
      <c r="G7" s="1" t="s">
        <v>360</v>
      </c>
      <c r="H7" s="1" t="s">
        <v>361</v>
      </c>
      <c r="I7" s="1" t="s">
        <v>241</v>
      </c>
      <c r="J7" s="1" t="s">
        <v>362</v>
      </c>
    </row>
    <row r="8" spans="1:10" ht="43.5">
      <c r="A8" s="1" t="s">
        <v>243</v>
      </c>
      <c r="B8" s="1" t="s">
        <v>244</v>
      </c>
      <c r="C8" s="1" t="s">
        <v>363</v>
      </c>
      <c r="D8" s="1" t="s">
        <v>364</v>
      </c>
      <c r="E8" s="1" t="s">
        <v>174</v>
      </c>
      <c r="F8" s="1" t="s">
        <v>365</v>
      </c>
      <c r="G8" s="1" t="s">
        <v>366</v>
      </c>
      <c r="H8" s="1"/>
      <c r="I8" s="1" t="s">
        <v>249</v>
      </c>
      <c r="J8" s="1" t="s">
        <v>367</v>
      </c>
    </row>
    <row r="9" spans="1:10" ht="43.5">
      <c r="A9" s="1" t="s">
        <v>251</v>
      </c>
      <c r="B9" s="1" t="s">
        <v>252</v>
      </c>
      <c r="C9" s="1" t="s">
        <v>368</v>
      </c>
      <c r="D9" s="1" t="s">
        <v>369</v>
      </c>
      <c r="E9" s="1" t="s">
        <v>138</v>
      </c>
      <c r="F9" s="1" t="s">
        <v>365</v>
      </c>
      <c r="G9" s="1" t="s">
        <v>366</v>
      </c>
      <c r="H9" s="1"/>
      <c r="I9" s="1" t="s">
        <v>256</v>
      </c>
      <c r="J9" s="1" t="s">
        <v>370</v>
      </c>
    </row>
    <row r="10" spans="1:10" ht="43.5">
      <c r="A10" s="1" t="s">
        <v>258</v>
      </c>
      <c r="B10" s="1" t="s">
        <v>259</v>
      </c>
      <c r="C10" s="1" t="s">
        <v>371</v>
      </c>
      <c r="D10" s="1" t="s">
        <v>372</v>
      </c>
      <c r="E10" s="1" t="s">
        <v>164</v>
      </c>
      <c r="F10" s="1" t="s">
        <v>355</v>
      </c>
      <c r="G10" s="1" t="s">
        <v>373</v>
      </c>
      <c r="H10" s="1" t="s">
        <v>374</v>
      </c>
      <c r="I10" s="1" t="s">
        <v>264</v>
      </c>
      <c r="J10" s="1" t="s">
        <v>375</v>
      </c>
    </row>
    <row r="11" spans="1:10" ht="43.5">
      <c r="A11" s="1" t="s">
        <v>266</v>
      </c>
      <c r="B11" s="1" t="s">
        <v>267</v>
      </c>
      <c r="C11" s="1" t="s">
        <v>376</v>
      </c>
      <c r="D11" s="1" t="s">
        <v>377</v>
      </c>
      <c r="E11" s="1" t="s">
        <v>183</v>
      </c>
      <c r="F11" s="1" t="s">
        <v>365</v>
      </c>
      <c r="G11" s="1" t="s">
        <v>366</v>
      </c>
      <c r="H11" s="1"/>
      <c r="I11" s="1" t="s">
        <v>272</v>
      </c>
      <c r="J11" s="1" t="s">
        <v>378</v>
      </c>
    </row>
    <row r="12" spans="1:10" ht="43.5">
      <c r="A12" s="1" t="s">
        <v>274</v>
      </c>
      <c r="B12" s="1" t="s">
        <v>275</v>
      </c>
      <c r="C12" s="1" t="s">
        <v>379</v>
      </c>
      <c r="D12" s="1" t="s">
        <v>380</v>
      </c>
      <c r="E12" s="1" t="s">
        <v>64</v>
      </c>
      <c r="F12" s="1" t="s">
        <v>350</v>
      </c>
      <c r="G12" s="1" t="s">
        <v>381</v>
      </c>
      <c r="H12" s="1" t="s">
        <v>382</v>
      </c>
      <c r="I12" s="1" t="s">
        <v>280</v>
      </c>
      <c r="J12" s="1" t="s">
        <v>383</v>
      </c>
    </row>
    <row r="13" spans="1:10" ht="43.5">
      <c r="A13" s="1" t="s">
        <v>282</v>
      </c>
      <c r="B13" s="1" t="s">
        <v>283</v>
      </c>
      <c r="C13" s="1" t="s">
        <v>384</v>
      </c>
      <c r="D13" s="1" t="s">
        <v>385</v>
      </c>
      <c r="E13" s="1" t="s">
        <v>138</v>
      </c>
      <c r="F13" s="1" t="s">
        <v>350</v>
      </c>
      <c r="G13" s="1" t="s">
        <v>386</v>
      </c>
      <c r="H13" s="1"/>
      <c r="I13" s="1" t="s">
        <v>288</v>
      </c>
      <c r="J13" s="1" t="s">
        <v>387</v>
      </c>
    </row>
  </sheetData>
  <mergeCells count="2">
    <mergeCell ref="A1:J1"/>
    <mergeCell ref="A2:J2"/>
  </mergeCells>
  <conditionalFormatting sqref="F5:F13">
    <cfRule type="expression" dxfId="2" priority="1">
      <formula>F5="MATCH EXACT"</formula>
    </cfRule>
    <cfRule type="expression" dxfId="1" priority="2">
      <formula>F5="PROBABLE"</formula>
    </cfRule>
    <cfRule type="expression" dxfId="0" priority="3">
      <formula>F5="ADDRESS-ONLY"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Ringkasan</vt:lpstr>
      <vt:lpstr>Master Penyalur</vt:lpstr>
      <vt:lpstr>Referensi</vt:lpstr>
      <vt:lpstr>Posisi Pertashop Google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asalada09 fajar</cp:lastModifiedBy>
  <dcterms:modified xsi:type="dcterms:W3CDTF">2026-08-30T17:51:56Z</dcterms:modified>
</cp:coreProperties>
</file>